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oyectos\OptiDoc\"/>
    </mc:Choice>
  </mc:AlternateContent>
  <xr:revisionPtr revIDLastSave="0" documentId="13_ncr:1_{53AE64CB-D56F-4567-B4C7-08EE4CD2BFCD}" xr6:coauthVersionLast="47" xr6:coauthVersionMax="47" xr10:uidLastSave="{00000000-0000-0000-0000-000000000000}"/>
  <bookViews>
    <workbookView xWindow="-108" yWindow="-108" windowWidth="30936" windowHeight="18696" tabRatio="500" activeTab="1" xr2:uid="{00000000-000D-0000-FFFF-FFFF00000000}"/>
  </bookViews>
  <sheets>
    <sheet name="Resumen" sheetId="1" r:id="rId1"/>
    <sheet name="Datos" sheetId="2" r:id="rId2"/>
    <sheet name="Análisis" sheetId="3" r:id="rId3"/>
    <sheet name="Problemáticos y muestra" sheetId="4" r:id="rId4"/>
    <sheet name="Metodología" sheetId="5" r:id="rId5"/>
    <sheet name="Gráfica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3" l="1"/>
  <c r="E6" i="3" s="1"/>
  <c r="C29" i="3"/>
  <c r="B11" i="1"/>
  <c r="C50" i="6"/>
  <c r="B50" i="6"/>
  <c r="A50" i="6"/>
  <c r="C49" i="6"/>
  <c r="B49" i="6"/>
  <c r="A49" i="6"/>
  <c r="C48" i="6"/>
  <c r="B48" i="6"/>
  <c r="A48" i="6"/>
  <c r="C47" i="6"/>
  <c r="B47" i="6"/>
  <c r="A47" i="6"/>
  <c r="C46" i="6"/>
  <c r="B46" i="6"/>
  <c r="A46" i="6"/>
  <c r="C45" i="6"/>
  <c r="B45" i="6"/>
  <c r="A45" i="6"/>
  <c r="C44" i="6"/>
  <c r="B44" i="6"/>
  <c r="A44" i="6"/>
  <c r="C43" i="6"/>
  <c r="B43" i="6"/>
  <c r="A43" i="6"/>
  <c r="C42" i="6"/>
  <c r="B42" i="6"/>
  <c r="A42" i="6"/>
  <c r="C41" i="6"/>
  <c r="B41" i="6"/>
  <c r="A41" i="6"/>
  <c r="C40" i="6"/>
  <c r="B40" i="6"/>
  <c r="A40" i="6"/>
  <c r="C39" i="6"/>
  <c r="B39" i="6"/>
  <c r="A39" i="6"/>
  <c r="C38" i="6"/>
  <c r="B38" i="6"/>
  <c r="A38" i="6"/>
  <c r="C37" i="6"/>
  <c r="B37" i="6"/>
  <c r="A37" i="6"/>
  <c r="C36" i="6"/>
  <c r="B36" i="6"/>
  <c r="A36" i="6"/>
  <c r="C35" i="6"/>
  <c r="B35" i="6"/>
  <c r="A35" i="6"/>
  <c r="C34" i="6"/>
  <c r="B34" i="6"/>
  <c r="A34" i="6"/>
  <c r="C33" i="6"/>
  <c r="B33" i="6"/>
  <c r="A33" i="6"/>
  <c r="D28" i="6"/>
  <c r="C28" i="6"/>
  <c r="B28" i="6"/>
  <c r="C27" i="6"/>
  <c r="B27" i="6"/>
  <c r="C22" i="6"/>
  <c r="B22" i="6"/>
  <c r="A22" i="6"/>
  <c r="C21" i="6"/>
  <c r="B21" i="6"/>
  <c r="A21" i="6"/>
  <c r="C20" i="6"/>
  <c r="B20" i="6"/>
  <c r="A20" i="6"/>
  <c r="C19" i="6"/>
  <c r="B19" i="6"/>
  <c r="A19" i="6"/>
  <c r="C18" i="6"/>
  <c r="B18" i="6"/>
  <c r="A18" i="6"/>
  <c r="C17" i="6"/>
  <c r="B17" i="6"/>
  <c r="A17" i="6"/>
  <c r="C16" i="6"/>
  <c r="B16" i="6"/>
  <c r="A16" i="6"/>
  <c r="C15" i="6"/>
  <c r="B15" i="6"/>
  <c r="A15" i="6"/>
  <c r="C14" i="6"/>
  <c r="B14" i="6"/>
  <c r="A14" i="6"/>
  <c r="C13" i="6"/>
  <c r="B13" i="6"/>
  <c r="A13" i="6"/>
  <c r="C12" i="6"/>
  <c r="B12" i="6"/>
  <c r="A12" i="6"/>
  <c r="C11" i="6"/>
  <c r="B11" i="6"/>
  <c r="A11" i="6"/>
  <c r="C10" i="6"/>
  <c r="B10" i="6"/>
  <c r="A10" i="6"/>
  <c r="C9" i="6"/>
  <c r="B9" i="6"/>
  <c r="A9" i="6"/>
  <c r="C8" i="6"/>
  <c r="B8" i="6"/>
  <c r="A8" i="6"/>
  <c r="C7" i="6"/>
  <c r="B7" i="6"/>
  <c r="A7" i="6"/>
  <c r="C6" i="6"/>
  <c r="B6" i="6"/>
  <c r="A6" i="6"/>
  <c r="C5" i="6"/>
  <c r="B5" i="6"/>
  <c r="A5" i="6"/>
  <c r="C10" i="5"/>
  <c r="D10" i="5" s="1"/>
  <c r="E19" i="4"/>
  <c r="D19" i="4"/>
  <c r="C19" i="4"/>
  <c r="E18" i="4"/>
  <c r="D18" i="4"/>
  <c r="C18" i="4"/>
  <c r="E17" i="4"/>
  <c r="D17" i="4"/>
  <c r="C17" i="4"/>
  <c r="E16" i="4"/>
  <c r="D16" i="4"/>
  <c r="C16" i="4"/>
  <c r="E15" i="4"/>
  <c r="D15" i="4"/>
  <c r="C15" i="4"/>
  <c r="E14" i="4"/>
  <c r="D14" i="4"/>
  <c r="C14" i="4"/>
  <c r="D20" i="4" s="1"/>
  <c r="D8" i="4"/>
  <c r="C8" i="4"/>
  <c r="D7" i="4"/>
  <c r="C7" i="4"/>
  <c r="C10" i="4" s="1"/>
  <c r="D6" i="4"/>
  <c r="C6" i="4"/>
  <c r="D5" i="4"/>
  <c r="C5" i="4"/>
  <c r="D44" i="3"/>
  <c r="E44" i="3" s="1"/>
  <c r="B44" i="3"/>
  <c r="C44" i="3" s="1"/>
  <c r="F44" i="3" s="1"/>
  <c r="D43" i="3"/>
  <c r="E43" i="3" s="1"/>
  <c r="B43" i="3"/>
  <c r="D42" i="3"/>
  <c r="B42" i="3"/>
  <c r="C42" i="3" s="1"/>
  <c r="D41" i="3"/>
  <c r="E41" i="3" s="1"/>
  <c r="B41" i="3"/>
  <c r="D40" i="3"/>
  <c r="E40" i="3" s="1"/>
  <c r="B40" i="3"/>
  <c r="D39" i="3"/>
  <c r="E39" i="3" s="1"/>
  <c r="C39" i="3"/>
  <c r="F39" i="3" s="1"/>
  <c r="B39" i="3"/>
  <c r="D38" i="3"/>
  <c r="E38" i="3" s="1"/>
  <c r="B38" i="3"/>
  <c r="C38" i="3" s="1"/>
  <c r="F38" i="3" s="1"/>
  <c r="D37" i="3"/>
  <c r="B37" i="3"/>
  <c r="D36" i="3"/>
  <c r="E51" i="3" s="1"/>
  <c r="B36" i="3"/>
  <c r="C36" i="3" s="1"/>
  <c r="D35" i="3"/>
  <c r="B35" i="3"/>
  <c r="C35" i="3" s="1"/>
  <c r="D34" i="3"/>
  <c r="B51" i="3" s="1"/>
  <c r="B34" i="3"/>
  <c r="E33" i="3"/>
  <c r="D33" i="3"/>
  <c r="B33" i="3"/>
  <c r="C33" i="3" s="1"/>
  <c r="F33" i="3" s="1"/>
  <c r="D32" i="3"/>
  <c r="E32" i="3" s="1"/>
  <c r="B32" i="3"/>
  <c r="C32" i="3" s="1"/>
  <c r="F32" i="3" s="1"/>
  <c r="D31" i="3"/>
  <c r="B31" i="3"/>
  <c r="C43" i="3" s="1"/>
  <c r="F43" i="3" s="1"/>
  <c r="D30" i="3"/>
  <c r="B30" i="3"/>
  <c r="C30" i="3" s="1"/>
  <c r="D29" i="3"/>
  <c r="E29" i="3" s="1"/>
  <c r="B29" i="3"/>
  <c r="C41" i="3" s="1"/>
  <c r="F41" i="3" s="1"/>
  <c r="D28" i="3"/>
  <c r="E30" i="3" s="1"/>
  <c r="B28" i="3"/>
  <c r="D27" i="3"/>
  <c r="E27" i="3" s="1"/>
  <c r="B27" i="3"/>
  <c r="B50" i="3" s="1"/>
  <c r="B52" i="3" s="1"/>
  <c r="D22" i="3"/>
  <c r="C22" i="3"/>
  <c r="D21" i="3"/>
  <c r="C21" i="3"/>
  <c r="D20" i="3"/>
  <c r="C20" i="3"/>
  <c r="D19" i="3"/>
  <c r="D23" i="3" s="1"/>
  <c r="C19" i="3"/>
  <c r="C23" i="3" s="1"/>
  <c r="C13" i="3"/>
  <c r="D12" i="3"/>
  <c r="C12" i="3"/>
  <c r="E12" i="3" s="1"/>
  <c r="B12" i="3"/>
  <c r="D11" i="3"/>
  <c r="C11" i="3"/>
  <c r="E11" i="3" s="1"/>
  <c r="B11" i="3"/>
  <c r="B10" i="3"/>
  <c r="B9" i="3"/>
  <c r="B8" i="3"/>
  <c r="B7" i="3"/>
  <c r="D6" i="3"/>
  <c r="B6" i="3"/>
  <c r="D5" i="3"/>
  <c r="E5" i="3" s="1"/>
  <c r="C5" i="3"/>
  <c r="B5" i="3"/>
  <c r="O22" i="2"/>
  <c r="N22" i="2"/>
  <c r="L22" i="2"/>
  <c r="K22" i="2"/>
  <c r="O21" i="2"/>
  <c r="N21" i="2"/>
  <c r="K21" i="2"/>
  <c r="L21" i="2" s="1"/>
  <c r="O20" i="2"/>
  <c r="N20" i="2"/>
  <c r="L20" i="2"/>
  <c r="K20" i="2"/>
  <c r="O19" i="2"/>
  <c r="N19" i="2"/>
  <c r="L19" i="2"/>
  <c r="K19" i="2"/>
  <c r="O18" i="2"/>
  <c r="N18" i="2"/>
  <c r="K18" i="2"/>
  <c r="L18" i="2" s="1"/>
  <c r="O17" i="2"/>
  <c r="N17" i="2"/>
  <c r="L17" i="2"/>
  <c r="K17" i="2"/>
  <c r="O16" i="2"/>
  <c r="N16" i="2"/>
  <c r="K16" i="2"/>
  <c r="E20" i="1" s="1"/>
  <c r="O15" i="2"/>
  <c r="N15" i="2"/>
  <c r="L15" i="2"/>
  <c r="K15" i="2"/>
  <c r="O14" i="2"/>
  <c r="N14" i="2"/>
  <c r="L14" i="2"/>
  <c r="K14" i="2"/>
  <c r="O13" i="2"/>
  <c r="D10" i="3" s="1"/>
  <c r="N13" i="2"/>
  <c r="K13" i="2"/>
  <c r="L13" i="2" s="1"/>
  <c r="O12" i="2"/>
  <c r="N12" i="2"/>
  <c r="L12" i="2"/>
  <c r="K12" i="2"/>
  <c r="D27" i="6" s="1"/>
  <c r="O11" i="2"/>
  <c r="N11" i="2"/>
  <c r="K11" i="2"/>
  <c r="L11" i="2" s="1"/>
  <c r="O10" i="2"/>
  <c r="N10" i="2"/>
  <c r="L10" i="2"/>
  <c r="K10" i="2"/>
  <c r="O9" i="2"/>
  <c r="N9" i="2"/>
  <c r="L9" i="2"/>
  <c r="K9" i="2"/>
  <c r="O8" i="2"/>
  <c r="D7" i="3" s="1"/>
  <c r="N8" i="2"/>
  <c r="C7" i="3" s="1"/>
  <c r="E7" i="3" s="1"/>
  <c r="K8" i="2"/>
  <c r="L8" i="2" s="1"/>
  <c r="O7" i="2"/>
  <c r="N7" i="2"/>
  <c r="L7" i="2"/>
  <c r="K7" i="2"/>
  <c r="E7" i="4" s="1"/>
  <c r="O6" i="2"/>
  <c r="N6" i="2"/>
  <c r="K6" i="2"/>
  <c r="E6" i="4" s="1"/>
  <c r="O5" i="2"/>
  <c r="D9" i="3" s="1"/>
  <c r="N5" i="2"/>
  <c r="C10" i="3" s="1"/>
  <c r="L5" i="2"/>
  <c r="K5" i="2"/>
  <c r="E5" i="4" s="1"/>
  <c r="E21" i="1"/>
  <c r="D21" i="1"/>
  <c r="D22" i="1" s="1"/>
  <c r="C21" i="1"/>
  <c r="B21" i="1"/>
  <c r="D20" i="1"/>
  <c r="C20" i="1"/>
  <c r="C22" i="1" s="1"/>
  <c r="B20" i="1"/>
  <c r="B16" i="1"/>
  <c r="B14" i="1"/>
  <c r="B13" i="1"/>
  <c r="B12" i="1"/>
  <c r="B10" i="1"/>
  <c r="B9" i="1"/>
  <c r="B8" i="1"/>
  <c r="B7" i="1"/>
  <c r="B6" i="1"/>
  <c r="B5" i="1"/>
  <c r="H38" i="3" l="1"/>
  <c r="G38" i="3"/>
  <c r="H41" i="3"/>
  <c r="G41" i="3"/>
  <c r="F30" i="3"/>
  <c r="H39" i="3"/>
  <c r="G39" i="3"/>
  <c r="E10" i="3"/>
  <c r="G44" i="3"/>
  <c r="H44" i="3"/>
  <c r="F36" i="3"/>
  <c r="H43" i="3"/>
  <c r="G43" i="3"/>
  <c r="H32" i="3"/>
  <c r="G32" i="3"/>
  <c r="F42" i="3"/>
  <c r="F35" i="3"/>
  <c r="G33" i="3"/>
  <c r="H33" i="3"/>
  <c r="E42" i="3"/>
  <c r="B13" i="3"/>
  <c r="E36" i="3"/>
  <c r="C8" i="3"/>
  <c r="E8" i="3" s="1"/>
  <c r="D8" i="3"/>
  <c r="C28" i="3"/>
  <c r="D50" i="3"/>
  <c r="B15" i="1"/>
  <c r="C31" i="3"/>
  <c r="E50" i="3"/>
  <c r="F50" i="3" s="1"/>
  <c r="G50" i="3" s="1"/>
  <c r="E28" i="3"/>
  <c r="C34" i="3"/>
  <c r="F34" i="3" s="1"/>
  <c r="E8" i="4"/>
  <c r="C20" i="4"/>
  <c r="D13" i="3"/>
  <c r="E13" i="3" s="1"/>
  <c r="C9" i="3"/>
  <c r="E9" i="3" s="1"/>
  <c r="E31" i="3"/>
  <c r="C37" i="3"/>
  <c r="F37" i="3" s="1"/>
  <c r="L6" i="2"/>
  <c r="L16" i="2"/>
  <c r="E34" i="3"/>
  <c r="C40" i="3"/>
  <c r="F40" i="3" s="1"/>
  <c r="E37" i="3"/>
  <c r="D51" i="3"/>
  <c r="F51" i="3" s="1"/>
  <c r="G51" i="3" s="1"/>
  <c r="F52" i="3" s="1"/>
  <c r="F29" i="3"/>
  <c r="E35" i="3"/>
  <c r="C27" i="3"/>
  <c r="F27" i="3" s="1"/>
  <c r="H42" i="3" l="1"/>
  <c r="G42" i="3"/>
  <c r="F31" i="3"/>
  <c r="H35" i="3"/>
  <c r="G35" i="3"/>
  <c r="H36" i="3"/>
  <c r="G36" i="3"/>
  <c r="H37" i="3"/>
  <c r="G37" i="3"/>
  <c r="H34" i="3"/>
  <c r="G34" i="3"/>
  <c r="H27" i="3"/>
  <c r="G27" i="3"/>
  <c r="F28" i="3"/>
  <c r="H40" i="3"/>
  <c r="G40" i="3"/>
  <c r="H29" i="3"/>
  <c r="G29" i="3"/>
  <c r="H30" i="3"/>
  <c r="G30" i="3"/>
  <c r="H28" i="3" l="1"/>
  <c r="G28" i="3"/>
  <c r="D45" i="3" s="1"/>
  <c r="H31" i="3"/>
  <c r="G3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4" authorId="0" shapeId="0" xr:uid="{00000000-0006-0000-0100-000001000000}">
      <text>
        <r>
          <rPr>
            <sz val="10"/>
            <rFont val="Arial"/>
            <family val="2"/>
          </rPr>
          <t>Parámetro de entrada. Editable: todas las clasificaciones y conteos del libro dependen de esta celda.</t>
        </r>
      </text>
    </comment>
  </commentList>
</comments>
</file>

<file path=xl/sharedStrings.xml><?xml version="1.0" encoding="utf-8"?>
<sst xmlns="http://schemas.openxmlformats.org/spreadsheetml/2006/main" count="321" uniqueCount="217">
  <si>
    <t>Indicadores globales del corpus</t>
  </si>
  <si>
    <t>Indicador</t>
  </si>
  <si>
    <t>Valor</t>
  </si>
  <si>
    <t>Interpretación</t>
  </si>
  <si>
    <t>Documentos evaluados</t>
  </si>
  <si>
    <t>Total del corpus definitivo congelado.</t>
  </si>
  <si>
    <t>Índice medio de compatibilidad</t>
  </si>
  <si>
    <t>Promedio sobre los 18 documentos.</t>
  </si>
  <si>
    <t>Índice mediano</t>
  </si>
  <si>
    <t>Menos sensible al caso extremo que la media.</t>
  </si>
  <si>
    <t>Índice mínimo (peor caso)</t>
  </si>
  <si>
    <t>Documento más incompatible del corpus.</t>
  </si>
  <si>
    <t>Índice máximo (mejor caso)</t>
  </si>
  <si>
    <t>Documento que mejor se traslada entre suites.</t>
  </si>
  <si>
    <t>Desviación estándar</t>
  </si>
  <si>
    <t>Dispersión: confirma que la métrica discrimina.</t>
  </si>
  <si>
    <t>Rango observado</t>
  </si>
  <si>
    <t>Amplitud del rango; base para la calibración.</t>
  </si>
  <si>
    <t>SSIM visual medio</t>
  </si>
  <si>
    <t>Similitud visual media entre ambos motores.</t>
  </si>
  <si>
    <t>Documentos problemáticos (&lt; umbral)</t>
  </si>
  <si>
    <t>Requieren revisión manual.</t>
  </si>
  <si>
    <t>% del corpus problemático</t>
  </si>
  <si>
    <t>Proporción de documentos bajo el umbral.</t>
  </si>
  <si>
    <t>Documentos con paginación rota</t>
  </si>
  <si>
    <t>Falla dura: cambia lo que se imprime y se firma.</t>
  </si>
  <si>
    <t>Páginas totales analizadas</t>
  </si>
  <si>
    <t>Volumen de evidencia procesada.</t>
  </si>
  <si>
    <t>Hallazgo principal — el origen del documento predice su compatibilidad</t>
  </si>
  <si>
    <t>Estrato</t>
  </si>
  <si>
    <t>n</t>
  </si>
  <si>
    <t>Índice medio</t>
  </si>
  <si>
    <t>SSIM medio</t>
  </si>
  <si>
    <t>Paginación rota</t>
  </si>
  <si>
    <t>Lectura</t>
  </si>
  <si>
    <t>A · Nativo Word</t>
  </si>
  <si>
    <t>Documentos creados originalmente en Word.</t>
  </si>
  <si>
    <t>B · Convertido a Word</t>
  </si>
  <si>
    <t>Documentos convertidos a Word desde otro formato.</t>
  </si>
  <si>
    <t>Diferencia entre estratos (A − B)</t>
  </si>
  <si>
    <t>Brecha sistemática: el estrato B concentra toda la incompatibilidad.</t>
  </si>
  <si>
    <t>DATOS — Corpus definitivo congelado (18 documentos)</t>
  </si>
  <si>
    <t>#</t>
  </si>
  <si>
    <t>Documento</t>
  </si>
  <si>
    <t>Índice</t>
  </si>
  <si>
    <t>Clasificación</t>
  </si>
  <si>
    <t>SSIM</t>
  </si>
  <si>
    <t>Fidelidad visual</t>
  </si>
  <si>
    <t>Conserv. paginación</t>
  </si>
  <si>
    <t>Págs Word</t>
  </si>
  <si>
    <t>Págs LibreOffice</t>
  </si>
  <si>
    <t>Δ Páginas</t>
  </si>
  <si>
    <t>¿Paginación rota?</t>
  </si>
  <si>
    <t>Índice si A</t>
  </si>
  <si>
    <t>Índice si B</t>
  </si>
  <si>
    <t>solicitud_CTI-2026-317.docx</t>
  </si>
  <si>
    <t>Critica</t>
  </si>
  <si>
    <t>CÓDIGO DE CONDUCTA  2025_vfinal.docx</t>
  </si>
  <si>
    <t>Baja</t>
  </si>
  <si>
    <t>OrdenCompra_IC-ESPOL-047-2026-signed-signed.docx</t>
  </si>
  <si>
    <t>ACTA DE ENTREGA RECEPCIÓN.docx</t>
  </si>
  <si>
    <t>VERIFICACION-PAC-signed.docx</t>
  </si>
  <si>
    <t>Aceptable</t>
  </si>
  <si>
    <t>InformeNecesidad_CTIIJN03422026signedsigned_signed.docx</t>
  </si>
  <si>
    <t>VERIFICACION-CATE-signed.docx</t>
  </si>
  <si>
    <t>07_FormularioESPOLDivulga.docx</t>
  </si>
  <si>
    <t>Alta</t>
  </si>
  <si>
    <t>INFROME DE CONFORMIDAD.docx</t>
  </si>
  <si>
    <t>08_DelegacionRepresentanteTecnico.docx</t>
  </si>
  <si>
    <t>INEN-DNO-2026-0160-CIR.docx</t>
  </si>
  <si>
    <t>formulario 2026.docx</t>
  </si>
  <si>
    <t>NTE INEN-ISO 2859-1_EXTRACTO.docx</t>
  </si>
  <si>
    <t>02_MemorandoInterno.docx</t>
  </si>
  <si>
    <t>03_ActaReunionComite.docx</t>
  </si>
  <si>
    <t>06_ActaEntregaRecepcion.docx</t>
  </si>
  <si>
    <t>04_InformeNecesidad.docx</t>
  </si>
  <si>
    <t>05_SolicitudCompraSIC.docx</t>
  </si>
  <si>
    <t>Umbral de compatibilidad aceptable:</t>
  </si>
  <si>
    <t>Versión de métricas de esta ejecución:</t>
  </si>
  <si>
    <t>1.0-hito1 (2 de 5 metricas)</t>
  </si>
  <si>
    <t>ANÁLISIS ESTADÍSTICO — Todos los cálculos por fórmula</t>
  </si>
  <si>
    <t>A. Estadística descriptiva por estrato</t>
  </si>
  <si>
    <t>Estadístico</t>
  </si>
  <si>
    <t>Corpus total</t>
  </si>
  <si>
    <t>Estrato A (nativo)</t>
  </si>
  <si>
    <t>Estrato B (convertido)</t>
  </si>
  <si>
    <t>Diferencia A−B</t>
  </si>
  <si>
    <t>Comentario</t>
  </si>
  <si>
    <t>n (documentos)</t>
  </si>
  <si>
    <t>Tamaños de muestra por estrato.</t>
  </si>
  <si>
    <t>Media del índice</t>
  </si>
  <si>
    <t>Diferencia central entre estratos.</t>
  </si>
  <si>
    <t>Mediana del índice</t>
  </si>
  <si>
    <t>Robusta frente al caso extremo (41.5).</t>
  </si>
  <si>
    <t>El estrato B es mucho más disperso.</t>
  </si>
  <si>
    <t>Mínimo</t>
  </si>
  <si>
    <t>El peor caso pertenece al estrato B.</t>
  </si>
  <si>
    <t>Máximo</t>
  </si>
  <si>
    <t>Ambos estratos alcanzan valores altos.</t>
  </si>
  <si>
    <t>Divergencia visual media.</t>
  </si>
  <si>
    <t>Documentos bajo umbral</t>
  </si>
  <si>
    <t>Todos los problemáticos son del estrato B.</t>
  </si>
  <si>
    <t>Falla dura, exclusiva del estrato B.</t>
  </si>
  <si>
    <t>Nota: los estadísticos por estrato se calculan sobre las columnas auxiliares N y O de la hoja Datos, que segmentan el índice por estrato. No se usan fórmulas matriciales.</t>
  </si>
  <si>
    <t>B. Distribución por clasificación de compatibilidad</t>
  </si>
  <si>
    <t>Criterio</t>
  </si>
  <si>
    <t>N.º documentos</t>
  </si>
  <si>
    <t>% del corpus</t>
  </si>
  <si>
    <t>Acción recomendada</t>
  </si>
  <si>
    <t>Índice ≥ 95</t>
  </si>
  <si>
    <t>Trasladable sin intervención.</t>
  </si>
  <si>
    <t>90 ≤ Índice &lt; 95</t>
  </si>
  <si>
    <t>Revisión ligera antes de publicar.</t>
  </si>
  <si>
    <t>70 ≤ Índice &lt; 90</t>
  </si>
  <si>
    <t>Requiere corrección manual.</t>
  </si>
  <si>
    <t>Crítica</t>
  </si>
  <si>
    <t>Índice &lt; 70</t>
  </si>
  <si>
    <t>No trasladable: rehacer o fijar formato.</t>
  </si>
  <si>
    <t>TOTAL</t>
  </si>
  <si>
    <t>C. Valor añadido del índice compuesto frente al SSIM aislado</t>
  </si>
  <si>
    <t>Ranking por SSIM</t>
  </si>
  <si>
    <t>Índice compuesto</t>
  </si>
  <si>
    <t>Ranking por índice</t>
  </si>
  <si>
    <t>Salto de posición</t>
  </si>
  <si>
    <t>|Salto|</t>
  </si>
  <si>
    <t>OrdenCompra_IC-ESPOL-047-2026-signed-signed.</t>
  </si>
  <si>
    <t>InformeNecesidad_CTIIJN03422026signedsigned_</t>
  </si>
  <si>
    <t>Documento con mayor discrepancia de ranking:</t>
  </si>
  <si>
    <t>Un salto grande significa que el índice compuesto lo evalúa de forma muy distinta a la similitud visual.</t>
  </si>
  <si>
    <t>D. Prueba decisiva — ¿qué dimensión aísla realmente el peor caso?</t>
  </si>
  <si>
    <t>Criterio de ordenamiento</t>
  </si>
  <si>
    <t>Peor documento</t>
  </si>
  <si>
    <t>Valor del peor</t>
  </si>
  <si>
    <t>Valor del 2.º peor</t>
  </si>
  <si>
    <t>Brecha</t>
  </si>
  <si>
    <t>Brecha relativa</t>
  </si>
  <si>
    <t>Por SSIM (visual aislado)</t>
  </si>
  <si>
    <t>El peor documento visual apenas se separa del siguiente: quedan agrupados.</t>
  </si>
  <si>
    <t>Por índice compuesto</t>
  </si>
  <si>
    <t>El peor documento queda netamente aislado del resto del corpus.</t>
  </si>
  <si>
    <t>¿Ambos criterios señalan el mismo documento?</t>
  </si>
  <si>
    <t>Conclusión: ordenando por similitud visual, el peor documento queda dentro de un grupo apretado y no se distingue como caso grave. Ordenando por el índice compuesto, se separa del resto por una brecha muy superior. Esa separación es la evidencia de que combinar dimensiones —y no solo mirar el SSIM— es lo que permite detectar el fallo de compatibilidad realmente costoso.</t>
  </si>
  <si>
    <t>ARCHIVOS PROBLEMÁTICOS Y SELECCIÓN PARA VALIDACIÓN</t>
  </si>
  <si>
    <t>A. Archivos problemáticos identificados (índice &lt; umbral o falla dura)</t>
  </si>
  <si>
    <t>Tipo de falla</t>
  </si>
  <si>
    <t>Motivo</t>
  </si>
  <si>
    <t>Falla dura</t>
  </si>
  <si>
    <t>Cambio de paginación (1→2); Divergencia visual alta (SSIM 0.831)</t>
  </si>
  <si>
    <t>Cambio de paginación (11→12); Divergencia visual alta (SSIM 0.835)</t>
  </si>
  <si>
    <t>Degradación visual</t>
  </si>
  <si>
    <t>Divergencia visual alta (SSIM 0.746)</t>
  </si>
  <si>
    <t>Divergencia visual alta (SSIM 0.783)</t>
  </si>
  <si>
    <t>Total problemáticos:</t>
  </si>
  <si>
    <t>B. Selección para validación humana (criterio determinista y auditable)</t>
  </si>
  <si>
    <t>Págs</t>
  </si>
  <si>
    <t>Justificación</t>
  </si>
  <si>
    <t>falla dura: cambio de paginación</t>
  </si>
  <si>
    <t>Entra obligatoriamente: mayor esfuerzo de corrección esperado.</t>
  </si>
  <si>
    <t>cobertura del rango (cuartil bajo)</t>
  </si>
  <si>
    <t>Cubre la zona baja del rango para dar variabilidad a la calibración.</t>
  </si>
  <si>
    <t>cobertura del rango (mediana)</t>
  </si>
  <si>
    <t>Representa el comportamiento típico del corpus.</t>
  </si>
  <si>
    <t>cobertura del rango (cuartil alto)</t>
  </si>
  <si>
    <t>Cubre la zona alta del rango.</t>
  </si>
  <si>
    <t>cobertura del rango (mejor caso)</t>
  </si>
  <si>
    <t>Control: debería requerir esfuerzo casi nulo.</t>
  </si>
  <si>
    <t>Rango de índices cubierto por la muestra:</t>
  </si>
  <si>
    <t>La muestra cubre prácticamente todo el rango observado del corpus. Sin esa variabilidad no habría contra qué correlacionar el tiempo de edición humano en la fase de calibración.</t>
  </si>
  <si>
    <t>METODOLOGÍA — Métricas congeladas, pesos y reglas</t>
  </si>
  <si>
    <t>A. Las cinco métricas prioritarias (conjunto congelado v2.0)</t>
  </si>
  <si>
    <t>Métrica</t>
  </si>
  <si>
    <t>Qué mide</t>
  </si>
  <si>
    <t>Peso</t>
  </si>
  <si>
    <t>Cómo se obtiene</t>
  </si>
  <si>
    <t>Justificación del peso</t>
  </si>
  <si>
    <t>1. Fidelidad visual</t>
  </si>
  <si>
    <t>Divergencia visual de la maquetación</t>
  </si>
  <si>
    <t>SSIM sobre páginas representativas</t>
  </si>
  <si>
    <t>Es lo que el usuario percibe primero.</t>
  </si>
  <si>
    <t>2. Conservación de paginación</t>
  </si>
  <si>
    <t>Que el documento ocupe las mismas páginas</t>
  </si>
  <si>
    <t>Conteo de páginas de ambos renders</t>
  </si>
  <si>
    <t>Falla dura: altera impresión, referencias y firma.</t>
  </si>
  <si>
    <t>3. Conservación de fuentes</t>
  </si>
  <si>
    <t>Sustitución tipográfica entre motores</t>
  </si>
  <si>
    <t>pdffonts sobre ambos PDF</t>
  </si>
  <si>
    <t>Causa directa del reflujo; se pondera por debajo del efecto.</t>
  </si>
  <si>
    <t>4. Estabilidad del flujo</t>
  </si>
  <si>
    <t>Dónde cae cada salto de línea (reflujo)</t>
  </si>
  <si>
    <t>pdftotext + comparación de secuencias</t>
  </si>
  <si>
    <t>Mecanismo causal, ya reflejado en la divergencia visual.</t>
  </si>
  <si>
    <t>5. Integridad de objetos</t>
  </si>
  <si>
    <t>Que imágenes y objetos se rendericen</t>
  </si>
  <si>
    <t>pdfimages sobre ambos PDF</t>
  </si>
  <si>
    <t>Poco frecuente en este corpus, pero grave cuando ocurre.</t>
  </si>
  <si>
    <t>Suma de pesos (control)</t>
  </si>
  <si>
    <t>Comparación cross-engine</t>
  </si>
  <si>
    <t>La referencia es el PDF exportado desde Microsoft Word; el objetivo es el render de LibreOffice del mismo documento. Ambos se rasterizan al mismo DPI antes de comparar.</t>
  </si>
  <si>
    <t>Insumo manual</t>
  </si>
  <si>
    <t>Se requiere un PDF exportado desde Word por documento, porque Word no ejecuta en Linux. Es una restricción del entorno, no del método.</t>
  </si>
  <si>
    <t>Versión de métricas de estos datos</t>
  </si>
  <si>
    <t>Los 18 resultados provienen del pipeline con 2 de las 5 métricas. Las otras tres están implementadas y probadas, pero requieren los PDF de Word y los archivos fuente. Al re-ejecutar, los índices CAMBIARÁN de valor; se espera que el orden relativo se mantenga, pero debe verificarse, no asumirse.</t>
  </si>
  <si>
    <t>Pesos provisionales</t>
  </si>
  <si>
    <t>Están justificados conceptualmente, no empíricamente. Calibrarlos contra el tiempo de edición humano es el objetivo de la fase siguiente.</t>
  </si>
  <si>
    <t>Tamaño del corpus</t>
  </si>
  <si>
    <t>18 documentos alcanzan para detectar una diferencia sistemática entre estratos y para seleccionar casos de validación; no para afirmaciones estadísticas fuertes.</t>
  </si>
  <si>
    <t>GRÁFICAS — Generadas a partir de la hoja Datos</t>
  </si>
  <si>
    <t>Tabla auxiliar 1 — Índice por documento (ordenado)</t>
  </si>
  <si>
    <t>Umbral</t>
  </si>
  <si>
    <t>Tabla auxiliar 2 — Comparación de estratos</t>
  </si>
  <si>
    <t>SSIM medio ×100</t>
  </si>
  <si>
    <t>Tabla auxiliar 3 — SSIM frente a índice compuesto</t>
  </si>
  <si>
    <t>En la dispersión, el punto inferior aislado corresponde al documento cuya paginación se rompe: su SSIM es intermedio, pero el índice compuesto lo sitúa muy por debajo del resto.</t>
  </si>
  <si>
    <t>Métrica de compatibilidad Word ↔ LibreOffice</t>
  </si>
  <si>
    <t>Dataset de documentos</t>
  </si>
  <si>
    <t>Ejecución del pipeline cross-engine (Word como referencia vs. LibreOffice) sobre el corpus institucional</t>
  </si>
  <si>
    <t>B. Diseño de la medición y alcance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</si>
</sst>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
  </numFmts>
  <fonts count="10" x14ac:knownFonts="1">
    <font>
      <sz val="11"/>
      <color theme="1"/>
      <name val="Calibri"/>
      <family val="2"/>
      <charset val="1"/>
    </font>
    <font>
      <b/>
      <sz val="16"/>
      <color rgb="FFFFFFFF"/>
      <name val="Arial"/>
      <charset val="1"/>
    </font>
    <font>
      <b/>
      <sz val="11"/>
      <color rgb="FF1F4E79"/>
      <name val="Arial"/>
      <charset val="1"/>
    </font>
    <font>
      <b/>
      <sz val="10"/>
      <color rgb="FFFFFFFF"/>
      <name val="Arial"/>
      <charset val="1"/>
    </font>
    <font>
      <sz val="10"/>
      <name val="Arial"/>
      <charset val="1"/>
    </font>
    <font>
      <b/>
      <sz val="10"/>
      <name val="Arial"/>
      <charset val="1"/>
    </font>
    <font>
      <i/>
      <sz val="9"/>
      <color rgb="FF595959"/>
      <name val="Arial"/>
      <charset val="1"/>
    </font>
    <font>
      <b/>
      <sz val="10"/>
      <color rgb="FF0000FF"/>
      <name val="Arial"/>
      <charset val="1"/>
    </font>
    <font>
      <sz val="10"/>
      <name val="Arial"/>
      <family val="2"/>
    </font>
    <font>
      <b/>
      <sz val="10"/>
      <color rgb="FFC00000"/>
      <name val="Arial"/>
      <charset val="1"/>
    </font>
  </fonts>
  <fills count="6">
    <fill>
      <patternFill patternType="none"/>
    </fill>
    <fill>
      <patternFill patternType="gray125"/>
    </fill>
    <fill>
      <patternFill patternType="solid">
        <fgColor rgb="FF1F4E79"/>
        <bgColor rgb="FF003366"/>
      </patternFill>
    </fill>
    <fill>
      <patternFill patternType="solid">
        <fgColor rgb="FFF2F2F2"/>
        <bgColor rgb="FFF9F9F9"/>
      </patternFill>
    </fill>
    <fill>
      <patternFill patternType="solid">
        <fgColor rgb="FFD9E2F3"/>
        <bgColor rgb="FFD9D9D9"/>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8">
    <xf numFmtId="0" fontId="0" fillId="0" borderId="0" xfId="0"/>
    <xf numFmtId="0" fontId="0" fillId="4" borderId="1" xfId="0" applyFill="1" applyBorder="1" applyAlignment="1">
      <alignment horizontal="left" vertical="center"/>
    </xf>
    <xf numFmtId="0" fontId="0" fillId="0" borderId="1" xfId="0" applyBorder="1" applyAlignment="1">
      <alignment horizontal="left" vertical="center"/>
    </xf>
    <xf numFmtId="0" fontId="5" fillId="0" borderId="0" xfId="0" applyFont="1"/>
    <xf numFmtId="0" fontId="4" fillId="0" borderId="0" xfId="0" applyFont="1"/>
    <xf numFmtId="0" fontId="6" fillId="0" borderId="0" xfId="0" applyFont="1"/>
    <xf numFmtId="0" fontId="4" fillId="0" borderId="0" xfId="0" applyFont="1" applyAlignment="1">
      <alignment horizontal="left" vertical="top" wrapText="1"/>
    </xf>
    <xf numFmtId="1" fontId="5" fillId="3" borderId="1" xfId="0" applyNumberFormat="1" applyFont="1" applyFill="1" applyBorder="1" applyAlignment="1">
      <alignment horizontal="center" vertical="center"/>
    </xf>
    <xf numFmtId="166" fontId="5"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2" fontId="5" fillId="3" borderId="1" xfId="0" applyNumberFormat="1" applyFont="1" applyFill="1" applyBorder="1" applyAlignment="1">
      <alignment horizontal="center" vertical="center"/>
    </xf>
    <xf numFmtId="164" fontId="5" fillId="0" borderId="1" xfId="0" applyNumberFormat="1" applyFont="1" applyBorder="1" applyAlignment="1">
      <alignment horizontal="center" vertical="center"/>
    </xf>
    <xf numFmtId="164" fontId="5" fillId="3" borderId="1" xfId="0" applyNumberFormat="1" applyFont="1" applyFill="1" applyBorder="1" applyAlignment="1">
      <alignment horizontal="center" vertical="center"/>
    </xf>
    <xf numFmtId="1" fontId="5" fillId="0" borderId="1" xfId="0" applyNumberFormat="1" applyFont="1" applyBorder="1" applyAlignment="1">
      <alignment horizontal="center" vertical="center"/>
    </xf>
    <xf numFmtId="0" fontId="1" fillId="2" borderId="0" xfId="0" applyFont="1" applyFill="1" applyAlignment="1">
      <alignment horizontal="left" vertical="center"/>
    </xf>
    <xf numFmtId="0" fontId="2" fillId="0" borderId="0" xfId="0" applyFont="1"/>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1" fontId="5" fillId="0" borderId="1" xfId="0" applyNumberFormat="1" applyFont="1" applyBorder="1" applyAlignment="1">
      <alignment horizontal="center" vertical="center"/>
    </xf>
    <xf numFmtId="0" fontId="6" fillId="0" borderId="1" xfId="0" applyFont="1" applyBorder="1" applyAlignment="1">
      <alignment horizontal="left" vertical="top" wrapText="1"/>
    </xf>
    <xf numFmtId="0" fontId="4" fillId="3" borderId="1" xfId="0" applyFont="1" applyFill="1" applyBorder="1" applyAlignment="1">
      <alignment horizontal="left" vertical="center"/>
    </xf>
    <xf numFmtId="0" fontId="6" fillId="3" borderId="1" xfId="0" applyFont="1" applyFill="1" applyBorder="1" applyAlignment="1">
      <alignment horizontal="left" vertical="top" wrapText="1"/>
    </xf>
    <xf numFmtId="164" fontId="5" fillId="0" borderId="1" xfId="0" applyNumberFormat="1" applyFont="1" applyBorder="1" applyAlignment="1">
      <alignment horizontal="center" vertical="center"/>
    </xf>
    <xf numFmtId="166" fontId="5" fillId="3" borderId="1" xfId="0" applyNumberFormat="1" applyFont="1" applyFill="1" applyBorder="1" applyAlignment="1">
      <alignment horizontal="center" vertical="center"/>
    </xf>
    <xf numFmtId="1" fontId="5" fillId="3" borderId="1" xfId="0" applyNumberFormat="1" applyFont="1" applyFill="1" applyBorder="1" applyAlignment="1">
      <alignment horizontal="center" vertical="center"/>
    </xf>
    <xf numFmtId="0" fontId="5" fillId="0" borderId="1" xfId="0" applyFont="1" applyBorder="1"/>
    <xf numFmtId="165" fontId="5" fillId="0" borderId="1" xfId="0" applyNumberFormat="1" applyFont="1" applyBorder="1" applyAlignment="1">
      <alignment horizontal="center" vertical="center"/>
    </xf>
    <xf numFmtId="0" fontId="5" fillId="4" borderId="1" xfId="0" applyFont="1" applyFill="1" applyBorder="1"/>
    <xf numFmtId="0" fontId="0" fillId="4" borderId="1" xfId="0" applyFill="1" applyBorder="1"/>
    <xf numFmtId="164" fontId="5" fillId="4" borderId="1" xfId="0" applyNumberFormat="1" applyFont="1" applyFill="1" applyBorder="1" applyAlignment="1">
      <alignment horizontal="center" vertical="center"/>
    </xf>
    <xf numFmtId="165" fontId="5" fillId="4" borderId="1" xfId="0" applyNumberFormat="1" applyFont="1" applyFill="1" applyBorder="1" applyAlignment="1">
      <alignment horizontal="center" vertical="center"/>
    </xf>
    <xf numFmtId="0" fontId="6" fillId="4" borderId="1" xfId="0" applyFont="1" applyFill="1" applyBorder="1" applyAlignment="1">
      <alignment horizontal="left" vertical="top" wrapText="1"/>
    </xf>
    <xf numFmtId="0" fontId="6" fillId="0" borderId="0" xfId="0" applyFont="1"/>
    <xf numFmtId="0" fontId="3" fillId="2" borderId="0" xfId="0" applyFont="1" applyFill="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0" fontId="4"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xf>
    <xf numFmtId="165" fontId="4" fillId="3" borderId="1" xfId="0" applyNumberFormat="1" applyFont="1" applyFill="1" applyBorder="1" applyAlignment="1">
      <alignment horizontal="center" vertical="center"/>
    </xf>
    <xf numFmtId="0" fontId="5" fillId="0" borderId="0" xfId="0" applyFont="1"/>
    <xf numFmtId="0" fontId="7" fillId="5" borderId="1" xfId="0" applyFont="1" applyFill="1" applyBorder="1" applyAlignment="1">
      <alignment horizontal="center" vertical="center"/>
    </xf>
    <xf numFmtId="1" fontId="4" fillId="0" borderId="1" xfId="0" applyNumberFormat="1" applyFont="1" applyBorder="1" applyAlignment="1">
      <alignment horizontal="center" vertical="center"/>
    </xf>
    <xf numFmtId="0" fontId="5" fillId="3" borderId="1" xfId="0" applyFont="1" applyFill="1" applyBorder="1"/>
    <xf numFmtId="2" fontId="4" fillId="3" borderId="1" xfId="0" applyNumberFormat="1" applyFont="1" applyFill="1" applyBorder="1" applyAlignment="1">
      <alignment horizontal="center" vertical="center"/>
    </xf>
    <xf numFmtId="2" fontId="4" fillId="0" borderId="1" xfId="0" applyNumberFormat="1" applyFont="1" applyBorder="1" applyAlignment="1">
      <alignment horizontal="center" vertical="center"/>
    </xf>
    <xf numFmtId="1" fontId="4" fillId="3" borderId="1" xfId="0" applyNumberFormat="1" applyFont="1" applyFill="1" applyBorder="1" applyAlignment="1">
      <alignment horizontal="center" vertical="center"/>
    </xf>
    <xf numFmtId="0" fontId="4" fillId="0" borderId="1" xfId="0" applyFont="1" applyBorder="1"/>
    <xf numFmtId="166" fontId="5" fillId="0" borderId="1" xfId="0" applyNumberFormat="1" applyFont="1" applyBorder="1" applyAlignment="1">
      <alignment horizontal="center" vertical="center"/>
    </xf>
    <xf numFmtId="0" fontId="4" fillId="3" borderId="1" xfId="0" applyFont="1" applyFill="1" applyBorder="1"/>
    <xf numFmtId="1" fontId="5" fillId="4" borderId="1" xfId="0" applyNumberFormat="1" applyFont="1" applyFill="1" applyBorder="1" applyAlignment="1">
      <alignment horizontal="center" vertical="center"/>
    </xf>
    <xf numFmtId="166" fontId="5" fillId="4" borderId="1" xfId="0" applyNumberFormat="1" applyFont="1" applyFill="1" applyBorder="1" applyAlignment="1">
      <alignment horizontal="center" vertical="center"/>
    </xf>
    <xf numFmtId="0" fontId="6" fillId="0" borderId="1" xfId="0" applyFont="1" applyBorder="1" applyAlignment="1">
      <alignment horizontal="left" vertical="center"/>
    </xf>
    <xf numFmtId="0" fontId="6" fillId="3" borderId="1" xfId="0" applyFont="1" applyFill="1" applyBorder="1" applyAlignment="1">
      <alignment horizontal="left" vertical="center"/>
    </xf>
    <xf numFmtId="0" fontId="5" fillId="0" borderId="1" xfId="0" applyFont="1" applyBorder="1" applyAlignment="1">
      <alignment horizontal="left" vertical="center"/>
    </xf>
    <xf numFmtId="0" fontId="5" fillId="4" borderId="1" xfId="0" applyFont="1" applyFill="1" applyBorder="1" applyAlignment="1">
      <alignment horizontal="left" vertical="center"/>
    </xf>
    <xf numFmtId="0" fontId="5" fillId="5" borderId="1" xfId="0" applyFont="1" applyFill="1" applyBorder="1"/>
    <xf numFmtId="0" fontId="9" fillId="0" borderId="1" xfId="0" applyFont="1" applyBorder="1" applyAlignment="1">
      <alignment horizontal="center" vertical="center"/>
    </xf>
    <xf numFmtId="1" fontId="5" fillId="0" borderId="0" xfId="0" applyNumberFormat="1" applyFont="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4" fillId="0" borderId="1" xfId="0" applyFont="1" applyBorder="1" applyAlignment="1">
      <alignment horizontal="left" vertical="top" wrapText="1"/>
    </xf>
    <xf numFmtId="164" fontId="0" fillId="3" borderId="1" xfId="0" applyNumberFormat="1" applyFill="1" applyBorder="1" applyAlignment="1">
      <alignment horizontal="center" vertical="center"/>
    </xf>
    <xf numFmtId="0" fontId="0" fillId="3" borderId="1" xfId="0" applyFill="1" applyBorder="1" applyAlignment="1">
      <alignment horizontal="center" vertical="center"/>
    </xf>
    <xf numFmtId="1" fontId="0" fillId="3" borderId="1" xfId="0" applyNumberFormat="1" applyFill="1" applyBorder="1" applyAlignment="1">
      <alignment horizontal="center" vertical="center"/>
    </xf>
    <xf numFmtId="0" fontId="4" fillId="3" borderId="1" xfId="0" applyFont="1" applyFill="1" applyBorder="1" applyAlignment="1">
      <alignment horizontal="left" vertical="top" wrapText="1"/>
    </xf>
    <xf numFmtId="164" fontId="5" fillId="0" borderId="0" xfId="0" applyNumberFormat="1" applyFont="1" applyAlignment="1">
      <alignment horizontal="center" vertical="center"/>
    </xf>
    <xf numFmtId="0" fontId="5" fillId="0" borderId="0" xfId="0" applyFont="1" applyAlignment="1">
      <alignment horizontal="center" vertical="center"/>
    </xf>
    <xf numFmtId="9" fontId="5" fillId="0" borderId="1" xfId="0" applyNumberFormat="1" applyFont="1" applyBorder="1" applyAlignment="1">
      <alignment horizontal="center" vertical="center"/>
    </xf>
    <xf numFmtId="0" fontId="5" fillId="3" borderId="1" xfId="0" applyFont="1" applyFill="1" applyBorder="1" applyAlignment="1">
      <alignment horizontal="left" vertical="center"/>
    </xf>
    <xf numFmtId="9" fontId="5" fillId="3" borderId="1" xfId="0" applyNumberFormat="1" applyFont="1" applyFill="1" applyBorder="1" applyAlignment="1">
      <alignment horizontal="center" vertical="center"/>
    </xf>
    <xf numFmtId="9" fontId="5" fillId="4" borderId="1" xfId="0" applyNumberFormat="1" applyFont="1" applyFill="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9" fillId="5" borderId="1" xfId="0" applyFont="1" applyFill="1" applyBorder="1"/>
    <xf numFmtId="0" fontId="5" fillId="5" borderId="1" xfId="0" applyFont="1" applyFill="1" applyBorder="1"/>
    <xf numFmtId="0" fontId="4" fillId="0" borderId="1" xfId="0" applyFont="1" applyBorder="1" applyAlignment="1">
      <alignment horizontal="left" vertical="top" wrapText="1"/>
    </xf>
  </cellXfs>
  <cellStyles count="1">
    <cellStyle name="Normal" xfId="0" builtinId="0"/>
  </cellStyles>
  <dxfs count="3">
    <dxf>
      <font>
        <sz val="10"/>
        <color rgb="FF006100"/>
        <name val="Arial"/>
        <charset val="1"/>
      </font>
      <fill>
        <patternFill>
          <bgColor rgb="FFC6EFCE"/>
        </patternFill>
      </fill>
    </dxf>
    <dxf>
      <font>
        <sz val="10"/>
        <color rgb="FFBF8F00"/>
        <name val="Arial"/>
        <charset val="1"/>
      </font>
      <fill>
        <patternFill>
          <bgColor rgb="FFFFEB9C"/>
        </patternFill>
      </fill>
    </dxf>
    <dxf>
      <font>
        <b/>
        <sz val="10"/>
        <color rgb="FFC00000"/>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78787"/>
      <rgbColor rgb="FF9999FF"/>
      <rgbColor rgb="FFAB4744"/>
      <rgbColor rgb="FFFFF2CC"/>
      <rgbColor rgb="FFF2F2F2"/>
      <rgbColor rgb="FF660066"/>
      <rgbColor rgb="FFD09493"/>
      <rgbColor rgb="FF0066CC"/>
      <rgbColor rgb="FFD9D9D9"/>
      <rgbColor rgb="FF000080"/>
      <rgbColor rgb="FFFF00FF"/>
      <rgbColor rgb="FFFFFF00"/>
      <rgbColor rgb="FF00FFFF"/>
      <rgbColor rgb="FF800080"/>
      <rgbColor rgb="FF800000"/>
      <rgbColor rgb="FF008080"/>
      <rgbColor rgb="FF0000FF"/>
      <rgbColor rgb="FF00CCFF"/>
      <rgbColor rgb="FFD9E2F3"/>
      <rgbColor rgb="FFC6EFCE"/>
      <rgbColor rgb="FFFFEB9C"/>
      <rgbColor rgb="FFF9F9F9"/>
      <rgbColor rgb="FFFF99CC"/>
      <rgbColor rgb="FFCC99FF"/>
      <rgbColor rgb="FFFFC7CE"/>
      <rgbColor rgb="FF4F81BD"/>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Índice de compatibilidad por documento (0–100)</a:t>
            </a:r>
          </a:p>
        </c:rich>
      </c:tx>
      <c:overlay val="0"/>
      <c:spPr>
        <a:noFill/>
        <a:ln w="0">
          <a:noFill/>
        </a:ln>
      </c:spPr>
    </c:title>
    <c:autoTitleDeleted val="0"/>
    <c:plotArea>
      <c:layout/>
      <c:barChart>
        <c:barDir val="bar"/>
        <c:grouping val="clustered"/>
        <c:varyColors val="0"/>
        <c:ser>
          <c:idx val="0"/>
          <c:order val="0"/>
          <c:tx>
            <c:strRef>
              <c:f>Gráficas!$B$4</c:f>
              <c:strCache>
                <c:ptCount val="1"/>
                <c:pt idx="0">
                  <c:v>Índice</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Gráficas!$A$5:$A$22</c:f>
              <c:strCache>
                <c:ptCount val="18"/>
                <c:pt idx="0">
                  <c:v>solicitud_CTI-2026-317.docx</c:v>
                </c:pt>
                <c:pt idx="1">
                  <c:v>CÓDIGO DE CONDUCTA  2025_vfinal.docx</c:v>
                </c:pt>
                <c:pt idx="2">
                  <c:v>OrdenCompra_IC-ESPOL-047-2026-signed-signed.docx</c:v>
                </c:pt>
                <c:pt idx="3">
                  <c:v>ACTA DE ENTREGA RECEPCIÓN.docx</c:v>
                </c:pt>
                <c:pt idx="4">
                  <c:v>VERIFICACION-PAC-signed.docx</c:v>
                </c:pt>
                <c:pt idx="5">
                  <c:v>InformeNecesidad_CTIIJN03422026signedsigned_signed.docx</c:v>
                </c:pt>
                <c:pt idx="6">
                  <c:v>VERIFICACION-CATE-signed.docx</c:v>
                </c:pt>
                <c:pt idx="7">
                  <c:v>07_FormularioESPOLDivulga.docx</c:v>
                </c:pt>
                <c:pt idx="8">
                  <c:v>INFROME DE CONFORMIDAD.docx</c:v>
                </c:pt>
                <c:pt idx="9">
                  <c:v>08_DelegacionRepresentanteTecnico.docx</c:v>
                </c:pt>
                <c:pt idx="10">
                  <c:v>INEN-DNO-2026-0160-CIR.docx</c:v>
                </c:pt>
                <c:pt idx="11">
                  <c:v>formulario 2026.docx</c:v>
                </c:pt>
                <c:pt idx="12">
                  <c:v>NTE INEN-ISO 2859-1_EXTRACTO.docx</c:v>
                </c:pt>
                <c:pt idx="13">
                  <c:v>02_MemorandoInterno.docx</c:v>
                </c:pt>
                <c:pt idx="14">
                  <c:v>03_ActaReunionComite.docx</c:v>
                </c:pt>
                <c:pt idx="15">
                  <c:v>06_ActaEntregaRecepcion.docx</c:v>
                </c:pt>
                <c:pt idx="16">
                  <c:v>04_InformeNecesidad.docx</c:v>
                </c:pt>
                <c:pt idx="17">
                  <c:v>05_SolicitudCompraSIC.docx</c:v>
                </c:pt>
              </c:strCache>
            </c:strRef>
          </c:cat>
          <c:val>
            <c:numRef>
              <c:f>Gráficas!$B$5:$B$22</c:f>
              <c:numCache>
                <c:formatCode>0.0</c:formatCode>
                <c:ptCount val="18"/>
                <c:pt idx="0">
                  <c:v>41.5</c:v>
                </c:pt>
                <c:pt idx="1">
                  <c:v>87.2</c:v>
                </c:pt>
                <c:pt idx="2">
                  <c:v>87.3</c:v>
                </c:pt>
                <c:pt idx="3">
                  <c:v>89.2</c:v>
                </c:pt>
                <c:pt idx="4">
                  <c:v>92</c:v>
                </c:pt>
                <c:pt idx="5">
                  <c:v>92.7</c:v>
                </c:pt>
                <c:pt idx="6">
                  <c:v>93</c:v>
                </c:pt>
                <c:pt idx="7">
                  <c:v>95</c:v>
                </c:pt>
                <c:pt idx="8">
                  <c:v>95.2</c:v>
                </c:pt>
                <c:pt idx="9">
                  <c:v>97.4</c:v>
                </c:pt>
                <c:pt idx="10">
                  <c:v>97.8</c:v>
                </c:pt>
                <c:pt idx="11">
                  <c:v>98</c:v>
                </c:pt>
                <c:pt idx="12">
                  <c:v>98.2</c:v>
                </c:pt>
                <c:pt idx="13">
                  <c:v>98.5</c:v>
                </c:pt>
                <c:pt idx="14">
                  <c:v>98.5</c:v>
                </c:pt>
                <c:pt idx="15">
                  <c:v>98.5</c:v>
                </c:pt>
                <c:pt idx="16">
                  <c:v>98.7</c:v>
                </c:pt>
                <c:pt idx="17">
                  <c:v>99.3</c:v>
                </c:pt>
              </c:numCache>
            </c:numRef>
          </c:val>
          <c:extLst>
            <c:ext xmlns:c16="http://schemas.microsoft.com/office/drawing/2014/chart" uri="{C3380CC4-5D6E-409C-BE32-E72D297353CC}">
              <c16:uniqueId val="{00000000-2363-4007-B776-5B5D4DCA6914}"/>
            </c:ext>
          </c:extLst>
        </c:ser>
        <c:dLbls>
          <c:showLegendKey val="0"/>
          <c:showVal val="0"/>
          <c:showCatName val="0"/>
          <c:showSerName val="0"/>
          <c:showPercent val="0"/>
          <c:showBubbleSize val="0"/>
        </c:dLbls>
        <c:gapWidth val="150"/>
        <c:axId val="54535278"/>
        <c:axId val="44582183"/>
      </c:barChart>
      <c:catAx>
        <c:axId val="5453527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582183"/>
        <c:crosses val="autoZero"/>
        <c:auto val="1"/>
        <c:lblAlgn val="ctr"/>
        <c:lblOffset val="100"/>
        <c:noMultiLvlLbl val="0"/>
      </c:catAx>
      <c:valAx>
        <c:axId val="44582183"/>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Índice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53527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Comparación entre estratos: nativos vs. convertidos</a:t>
            </a:r>
          </a:p>
        </c:rich>
      </c:tx>
      <c:overlay val="0"/>
      <c:spPr>
        <a:noFill/>
        <a:ln w="0">
          <a:noFill/>
        </a:ln>
      </c:spPr>
    </c:title>
    <c:autoTitleDeleted val="0"/>
    <c:plotArea>
      <c:layout/>
      <c:barChart>
        <c:barDir val="col"/>
        <c:grouping val="clustered"/>
        <c:varyColors val="0"/>
        <c:ser>
          <c:idx val="0"/>
          <c:order val="0"/>
          <c:tx>
            <c:strRef>
              <c:f>Gráficas!$B$26</c:f>
              <c:strCache>
                <c:ptCount val="1"/>
                <c:pt idx="0">
                  <c:v>Índice medio</c:v>
                </c:pt>
              </c:strCache>
            </c:strRef>
          </c:tx>
          <c:spPr>
            <a:solidFill>
              <a:srgbClr val="AB4744"/>
            </a:solidFill>
            <a:ln w="9360">
              <a:solidFill>
                <a:srgbClr val="F9F9F9"/>
              </a:solidFill>
              <a:round/>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Gráficas!$A$27:$A$28</c:f>
              <c:strCache>
                <c:ptCount val="2"/>
                <c:pt idx="0">
                  <c:v>A · Nativo Word</c:v>
                </c:pt>
                <c:pt idx="1">
                  <c:v>B · Convertido a Word</c:v>
                </c:pt>
              </c:strCache>
            </c:strRef>
          </c:cat>
          <c:val>
            <c:numRef>
              <c:f>Gráficas!$B$27:$B$28</c:f>
              <c:numCache>
                <c:formatCode>0.00</c:formatCode>
                <c:ptCount val="2"/>
                <c:pt idx="0">
                  <c:v>97.987499999999997</c:v>
                </c:pt>
                <c:pt idx="1">
                  <c:v>87.41</c:v>
                </c:pt>
              </c:numCache>
            </c:numRef>
          </c:val>
          <c:extLst>
            <c:ext xmlns:c16="http://schemas.microsoft.com/office/drawing/2014/chart" uri="{C3380CC4-5D6E-409C-BE32-E72D297353CC}">
              <c16:uniqueId val="{00000000-CA32-4A70-9FFA-61F515B3E1E1}"/>
            </c:ext>
          </c:extLst>
        </c:ser>
        <c:ser>
          <c:idx val="1"/>
          <c:order val="1"/>
          <c:tx>
            <c:strRef>
              <c:f>Gráficas!$C$26</c:f>
              <c:strCache>
                <c:ptCount val="1"/>
                <c:pt idx="0">
                  <c:v>SSIM medio ×100</c:v>
                </c:pt>
              </c:strCache>
            </c:strRef>
          </c:tx>
          <c:spPr>
            <a:solidFill>
              <a:srgbClr val="D09493"/>
            </a:solidFill>
            <a:ln w="9360">
              <a:solidFill>
                <a:srgbClr val="F9F9F9"/>
              </a:solidFill>
              <a:round/>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Gráficas!$A$27:$A$28</c:f>
              <c:strCache>
                <c:ptCount val="2"/>
                <c:pt idx="0">
                  <c:v>A · Nativo Word</c:v>
                </c:pt>
                <c:pt idx="1">
                  <c:v>B · Convertido a Word</c:v>
                </c:pt>
              </c:strCache>
            </c:strRef>
          </c:cat>
          <c:val>
            <c:numRef>
              <c:f>Gráficas!$C$27:$C$28</c:f>
              <c:numCache>
                <c:formatCode>0.00</c:formatCode>
                <c:ptCount val="2"/>
                <c:pt idx="0">
                  <c:v>95.962499999999991</c:v>
                </c:pt>
                <c:pt idx="1">
                  <c:v>85.698999999999998</c:v>
                </c:pt>
              </c:numCache>
            </c:numRef>
          </c:val>
          <c:extLst>
            <c:ext xmlns:c16="http://schemas.microsoft.com/office/drawing/2014/chart" uri="{C3380CC4-5D6E-409C-BE32-E72D297353CC}">
              <c16:uniqueId val="{00000001-CA32-4A70-9FFA-61F515B3E1E1}"/>
            </c:ext>
          </c:extLst>
        </c:ser>
        <c:dLbls>
          <c:showLegendKey val="0"/>
          <c:showVal val="0"/>
          <c:showCatName val="0"/>
          <c:showSerName val="0"/>
          <c:showPercent val="0"/>
          <c:showBubbleSize val="0"/>
        </c:dLbls>
        <c:gapWidth val="150"/>
        <c:axId val="83278017"/>
        <c:axId val="74342908"/>
      </c:barChart>
      <c:catAx>
        <c:axId val="8327801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342908"/>
        <c:crosses val="autoZero"/>
        <c:auto val="1"/>
        <c:lblAlgn val="ctr"/>
        <c:lblOffset val="100"/>
        <c:noMultiLvlLbl val="0"/>
      </c:catAx>
      <c:valAx>
        <c:axId val="7434290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Valor medio</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27801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El índice compuesto detecta fallas que el SSIM no revela</a:t>
            </a:r>
          </a:p>
        </c:rich>
      </c:tx>
      <c:overlay val="0"/>
      <c:spPr>
        <a:noFill/>
        <a:ln w="0">
          <a:noFill/>
        </a:ln>
      </c:spPr>
    </c:title>
    <c:autoTitleDeleted val="0"/>
    <c:plotArea>
      <c:layout/>
      <c:scatterChart>
        <c:scatterStyle val="lineMarker"/>
        <c:varyColors val="0"/>
        <c:ser>
          <c:idx val="0"/>
          <c:order val="0"/>
          <c:tx>
            <c:strRef>
              <c:f>Gráficas!$C$32</c:f>
              <c:strCache>
                <c:ptCount val="1"/>
                <c:pt idx="0">
                  <c:v>Índice compuesto</c:v>
                </c:pt>
              </c:strCache>
            </c:strRef>
          </c:tx>
          <c:spPr>
            <a:ln w="47520">
              <a:noFill/>
            </a:ln>
          </c:spPr>
          <c:marker>
            <c:symbol val="circle"/>
            <c:size val="8"/>
            <c:spPr>
              <a:noFill/>
            </c:spPr>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Gráficas!$B$33:$B$50</c:f>
              <c:numCache>
                <c:formatCode>0.0000</c:formatCode>
                <c:ptCount val="18"/>
                <c:pt idx="0">
                  <c:v>0.83099999999999996</c:v>
                </c:pt>
                <c:pt idx="1">
                  <c:v>0.83520000000000005</c:v>
                </c:pt>
                <c:pt idx="2">
                  <c:v>0.74639999999999995</c:v>
                </c:pt>
                <c:pt idx="3">
                  <c:v>0.78310000000000002</c:v>
                </c:pt>
                <c:pt idx="4">
                  <c:v>0.83909999999999996</c:v>
                </c:pt>
                <c:pt idx="5">
                  <c:v>0.85340000000000005</c:v>
                </c:pt>
                <c:pt idx="6">
                  <c:v>0.8589</c:v>
                </c:pt>
                <c:pt idx="7">
                  <c:v>0.89959999999999996</c:v>
                </c:pt>
                <c:pt idx="8">
                  <c:v>0.90280000000000005</c:v>
                </c:pt>
                <c:pt idx="9">
                  <c:v>0.94850000000000001</c:v>
                </c:pt>
                <c:pt idx="10">
                  <c:v>0.95609999999999995</c:v>
                </c:pt>
                <c:pt idx="11">
                  <c:v>0.9587</c:v>
                </c:pt>
                <c:pt idx="12">
                  <c:v>0.96389999999999998</c:v>
                </c:pt>
                <c:pt idx="13">
                  <c:v>0.97</c:v>
                </c:pt>
                <c:pt idx="14">
                  <c:v>0.96909999999999996</c:v>
                </c:pt>
                <c:pt idx="15">
                  <c:v>0.97140000000000004</c:v>
                </c:pt>
                <c:pt idx="16">
                  <c:v>0.97340000000000004</c:v>
                </c:pt>
                <c:pt idx="17">
                  <c:v>0.98629999999999995</c:v>
                </c:pt>
              </c:numCache>
            </c:numRef>
          </c:xVal>
          <c:yVal>
            <c:numRef>
              <c:f>Gráficas!$C$33:$C$50</c:f>
              <c:numCache>
                <c:formatCode>0.0</c:formatCode>
                <c:ptCount val="18"/>
                <c:pt idx="0">
                  <c:v>41.5</c:v>
                </c:pt>
                <c:pt idx="1">
                  <c:v>87.2</c:v>
                </c:pt>
                <c:pt idx="2">
                  <c:v>87.3</c:v>
                </c:pt>
                <c:pt idx="3">
                  <c:v>89.2</c:v>
                </c:pt>
                <c:pt idx="4">
                  <c:v>92</c:v>
                </c:pt>
                <c:pt idx="5">
                  <c:v>92.7</c:v>
                </c:pt>
                <c:pt idx="6">
                  <c:v>93</c:v>
                </c:pt>
                <c:pt idx="7">
                  <c:v>95</c:v>
                </c:pt>
                <c:pt idx="8">
                  <c:v>95.2</c:v>
                </c:pt>
                <c:pt idx="9">
                  <c:v>97.4</c:v>
                </c:pt>
                <c:pt idx="10">
                  <c:v>97.8</c:v>
                </c:pt>
                <c:pt idx="11">
                  <c:v>98</c:v>
                </c:pt>
                <c:pt idx="12">
                  <c:v>98.2</c:v>
                </c:pt>
                <c:pt idx="13">
                  <c:v>98.5</c:v>
                </c:pt>
                <c:pt idx="14">
                  <c:v>98.5</c:v>
                </c:pt>
                <c:pt idx="15">
                  <c:v>98.5</c:v>
                </c:pt>
                <c:pt idx="16">
                  <c:v>98.7</c:v>
                </c:pt>
                <c:pt idx="17">
                  <c:v>99.3</c:v>
                </c:pt>
              </c:numCache>
            </c:numRef>
          </c:yVal>
          <c:smooth val="1"/>
          <c:extLst>
            <c:ext xmlns:c16="http://schemas.microsoft.com/office/drawing/2014/chart" uri="{C3380CC4-5D6E-409C-BE32-E72D297353CC}">
              <c16:uniqueId val="{00000000-CD80-48EF-B3FC-2A7CFA97FD81}"/>
            </c:ext>
          </c:extLst>
        </c:ser>
        <c:dLbls>
          <c:showLegendKey val="0"/>
          <c:showVal val="0"/>
          <c:showCatName val="0"/>
          <c:showSerName val="0"/>
          <c:showPercent val="0"/>
          <c:showBubbleSize val="0"/>
        </c:dLbls>
        <c:axId val="17026465"/>
        <c:axId val="5635232"/>
      </c:scatterChart>
      <c:valAx>
        <c:axId val="17026465"/>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SSIM visual</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35232"/>
        <c:crosses val="autoZero"/>
        <c:crossBetween val="midCat"/>
      </c:valAx>
      <c:valAx>
        <c:axId val="563523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Índice compuesto</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026465"/>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17</xdr:col>
      <xdr:colOff>3960</xdr:colOff>
      <xdr:row>25</xdr:row>
      <xdr:rowOff>297720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24</xdr:row>
      <xdr:rowOff>0</xdr:rowOff>
    </xdr:from>
    <xdr:to>
      <xdr:col>11</xdr:col>
      <xdr:colOff>72720</xdr:colOff>
      <xdr:row>40</xdr:row>
      <xdr:rowOff>170280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30</xdr:row>
      <xdr:rowOff>0</xdr:rowOff>
    </xdr:from>
    <xdr:to>
      <xdr:col>12</xdr:col>
      <xdr:colOff>181440</xdr:colOff>
      <xdr:row>49</xdr:row>
      <xdr:rowOff>149400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showGridLines="0" zoomScaleNormal="100" workbookViewId="0">
      <selection activeCell="G26" sqref="G26"/>
    </sheetView>
  </sheetViews>
  <sheetFormatPr baseColWidth="10" defaultColWidth="8.6640625" defaultRowHeight="14.4" x14ac:dyDescent="0.3"/>
  <cols>
    <col min="1" max="1" width="42" customWidth="1"/>
    <col min="2" max="4" width="16" customWidth="1"/>
    <col min="5" max="5" width="14" customWidth="1"/>
    <col min="6" max="6" width="40" customWidth="1"/>
  </cols>
  <sheetData>
    <row r="1" spans="1:6" ht="25.5" customHeight="1" x14ac:dyDescent="0.3">
      <c r="A1" s="14" t="s">
        <v>213</v>
      </c>
      <c r="B1" s="14"/>
      <c r="C1" s="14"/>
      <c r="D1" s="14"/>
      <c r="E1" s="14"/>
      <c r="F1" s="14"/>
    </row>
    <row r="3" spans="1:6" x14ac:dyDescent="0.3">
      <c r="A3" s="15" t="s">
        <v>0</v>
      </c>
    </row>
    <row r="4" spans="1:6" ht="30" customHeight="1" x14ac:dyDescent="0.3">
      <c r="A4" s="16" t="s">
        <v>1</v>
      </c>
      <c r="B4" s="16" t="s">
        <v>2</v>
      </c>
      <c r="C4" s="16"/>
      <c r="D4" s="16"/>
      <c r="E4" s="16"/>
      <c r="F4" s="16" t="s">
        <v>3</v>
      </c>
    </row>
    <row r="5" spans="1:6" ht="19.5" customHeight="1" x14ac:dyDescent="0.3">
      <c r="A5" s="17" t="s">
        <v>4</v>
      </c>
      <c r="B5" s="13">
        <f>COUNT(Datos!$D$5:$D$22)</f>
        <v>18</v>
      </c>
      <c r="C5" s="13"/>
      <c r="D5" s="13"/>
      <c r="E5" s="13"/>
      <c r="F5" s="19" t="s">
        <v>5</v>
      </c>
    </row>
    <row r="6" spans="1:6" ht="19.5" customHeight="1" x14ac:dyDescent="0.3">
      <c r="A6" s="20" t="s">
        <v>6</v>
      </c>
      <c r="B6" s="12">
        <f>AVERAGE(Datos!$D$5:$D$22)</f>
        <v>92.111111111111114</v>
      </c>
      <c r="C6" s="12"/>
      <c r="D6" s="12"/>
      <c r="E6" s="12"/>
      <c r="F6" s="21" t="s">
        <v>7</v>
      </c>
    </row>
    <row r="7" spans="1:6" ht="19.5" customHeight="1" x14ac:dyDescent="0.3">
      <c r="A7" s="17" t="s">
        <v>8</v>
      </c>
      <c r="B7" s="11">
        <f>MEDIAN(Datos!$D$5:$D$22)</f>
        <v>96.300000000000011</v>
      </c>
      <c r="C7" s="11"/>
      <c r="D7" s="11"/>
      <c r="E7" s="11"/>
      <c r="F7" s="19" t="s">
        <v>9</v>
      </c>
    </row>
    <row r="8" spans="1:6" ht="19.5" customHeight="1" x14ac:dyDescent="0.3">
      <c r="A8" s="20" t="s">
        <v>10</v>
      </c>
      <c r="B8" s="12">
        <f>MIN(Datos!$D$5:$D$22)</f>
        <v>41.5</v>
      </c>
      <c r="C8" s="12"/>
      <c r="D8" s="12"/>
      <c r="E8" s="12"/>
      <c r="F8" s="21" t="s">
        <v>11</v>
      </c>
    </row>
    <row r="9" spans="1:6" ht="19.5" customHeight="1" x14ac:dyDescent="0.3">
      <c r="A9" s="17" t="s">
        <v>12</v>
      </c>
      <c r="B9" s="11">
        <f>MAX(Datos!$D$5:$D$22)</f>
        <v>99.3</v>
      </c>
      <c r="C9" s="11"/>
      <c r="D9" s="11"/>
      <c r="E9" s="11"/>
      <c r="F9" s="19" t="s">
        <v>13</v>
      </c>
    </row>
    <row r="10" spans="1:6" ht="19.5" customHeight="1" x14ac:dyDescent="0.3">
      <c r="A10" s="20" t="s">
        <v>14</v>
      </c>
      <c r="B10" s="10">
        <f>STDEV(Datos!$D$5:$D$22)</f>
        <v>13.252963659183326</v>
      </c>
      <c r="C10" s="10"/>
      <c r="D10" s="10"/>
      <c r="E10" s="10"/>
      <c r="F10" s="21" t="s">
        <v>15</v>
      </c>
    </row>
    <row r="11" spans="1:6" ht="19.5" customHeight="1" x14ac:dyDescent="0.3">
      <c r="A11" s="17" t="s">
        <v>16</v>
      </c>
      <c r="B11" s="11">
        <f>MAX(Datos!$D$5:$D$22)-MIN(Datos!$D$5:$D$22)</f>
        <v>57.8</v>
      </c>
      <c r="C11" s="11"/>
      <c r="D11" s="11"/>
      <c r="E11" s="11"/>
      <c r="F11" s="19" t="s">
        <v>17</v>
      </c>
    </row>
    <row r="12" spans="1:6" ht="19.5" customHeight="1" x14ac:dyDescent="0.3">
      <c r="A12" s="20" t="s">
        <v>18</v>
      </c>
      <c r="B12" s="9">
        <f>AVERAGE(Datos!$F$5:$F$22)</f>
        <v>0.90260555555555533</v>
      </c>
      <c r="C12" s="9"/>
      <c r="D12" s="9"/>
      <c r="E12" s="9"/>
      <c r="F12" s="21" t="s">
        <v>19</v>
      </c>
    </row>
    <row r="13" spans="1:6" ht="19.5" customHeight="1" x14ac:dyDescent="0.3">
      <c r="A13" s="17" t="s">
        <v>20</v>
      </c>
      <c r="B13" s="13">
        <f>COUNTIF(Datos!$D$5:$D$22,"&lt;"&amp;Datos!$D$24)</f>
        <v>4</v>
      </c>
      <c r="C13" s="13"/>
      <c r="D13" s="13"/>
      <c r="E13" s="13"/>
      <c r="F13" s="19" t="s">
        <v>21</v>
      </c>
    </row>
    <row r="14" spans="1:6" ht="19.5" customHeight="1" x14ac:dyDescent="0.3">
      <c r="A14" s="20" t="s">
        <v>22</v>
      </c>
      <c r="B14" s="8">
        <f>COUNTIF(Datos!$D$5:$D$22,"&lt;"&amp;Datos!$D$24)/COUNT(Datos!$D$5:$D$22)</f>
        <v>0.22222222222222221</v>
      </c>
      <c r="C14" s="8"/>
      <c r="D14" s="8"/>
      <c r="E14" s="8"/>
      <c r="F14" s="21" t="s">
        <v>23</v>
      </c>
    </row>
    <row r="15" spans="1:6" ht="19.5" customHeight="1" x14ac:dyDescent="0.3">
      <c r="A15" s="17" t="s">
        <v>24</v>
      </c>
      <c r="B15" s="13">
        <f>COUNTIF(Datos!$K$5:$K$22,"&lt;&gt;0")</f>
        <v>2</v>
      </c>
      <c r="C15" s="13"/>
      <c r="D15" s="13"/>
      <c r="E15" s="13"/>
      <c r="F15" s="19" t="s">
        <v>25</v>
      </c>
    </row>
    <row r="16" spans="1:6" ht="19.5" customHeight="1" x14ac:dyDescent="0.3">
      <c r="A16" s="20" t="s">
        <v>26</v>
      </c>
      <c r="B16" s="7">
        <f>SUM(Datos!$I$5:$I$22)</f>
        <v>76</v>
      </c>
      <c r="C16" s="7"/>
      <c r="D16" s="7"/>
      <c r="E16" s="7"/>
      <c r="F16" s="21" t="s">
        <v>27</v>
      </c>
    </row>
    <row r="18" spans="1:6" x14ac:dyDescent="0.3">
      <c r="A18" s="15" t="s">
        <v>28</v>
      </c>
    </row>
    <row r="19" spans="1:6" ht="30" customHeight="1" x14ac:dyDescent="0.3">
      <c r="A19" s="16" t="s">
        <v>29</v>
      </c>
      <c r="B19" s="16" t="s">
        <v>30</v>
      </c>
      <c r="C19" s="16" t="s">
        <v>31</v>
      </c>
      <c r="D19" s="16" t="s">
        <v>32</v>
      </c>
      <c r="E19" s="16" t="s">
        <v>33</v>
      </c>
      <c r="F19" s="16" t="s">
        <v>34</v>
      </c>
    </row>
    <row r="20" spans="1:6" x14ac:dyDescent="0.3">
      <c r="A20" s="25" t="s">
        <v>35</v>
      </c>
      <c r="B20" s="18">
        <f>COUNTIF(Datos!$C$5:$C$22,"A · Nativo Word")</f>
        <v>8</v>
      </c>
      <c r="C20" s="22">
        <f>AVERAGEIF(Datos!$C$5:$C$22,"A · Nativo Word",Datos!$D$5:$D$22)</f>
        <v>97.987499999999997</v>
      </c>
      <c r="D20" s="26">
        <f>AVERAGEIF(Datos!$C$5:$C$22,"A · Nativo Word",Datos!$F$5:$F$22)</f>
        <v>0.95962499999999995</v>
      </c>
      <c r="E20" s="18">
        <f>COUNTIFS(Datos!$C$5:$C$22,"A · Nativo Word",Datos!$K$5:$K$22,"&lt;&gt;0")</f>
        <v>0</v>
      </c>
      <c r="F20" s="19" t="s">
        <v>36</v>
      </c>
    </row>
    <row r="21" spans="1:6" ht="22.8" x14ac:dyDescent="0.3">
      <c r="A21" s="25" t="s">
        <v>37</v>
      </c>
      <c r="B21" s="18">
        <f>COUNTIF(Datos!$C$5:$C$22,"B · Convertido a Word")</f>
        <v>10</v>
      </c>
      <c r="C21" s="22">
        <f>AVERAGEIF(Datos!$C$5:$C$22,"B · Convertido a Word",Datos!$D$5:$D$22)</f>
        <v>87.41</v>
      </c>
      <c r="D21" s="26">
        <f>AVERAGEIF(Datos!$C$5:$C$22,"B · Convertido a Word",Datos!$F$5:$F$22)</f>
        <v>0.85699000000000003</v>
      </c>
      <c r="E21" s="18">
        <f>COUNTIFS(Datos!$C$5:$C$22,"B · Convertido a Word",Datos!$K$5:$K$22,"&lt;&gt;0")</f>
        <v>2</v>
      </c>
      <c r="F21" s="19" t="s">
        <v>38</v>
      </c>
    </row>
    <row r="22" spans="1:6" ht="22.8" x14ac:dyDescent="0.3">
      <c r="A22" s="27" t="s">
        <v>39</v>
      </c>
      <c r="B22" s="28"/>
      <c r="C22" s="29">
        <f>C20-C21</f>
        <v>10.577500000000001</v>
      </c>
      <c r="D22" s="30">
        <f>D20-D21</f>
        <v>0.10263499999999992</v>
      </c>
      <c r="E22" s="28"/>
      <c r="F22" s="31" t="s">
        <v>40</v>
      </c>
    </row>
    <row r="24" spans="1:6" x14ac:dyDescent="0.3">
      <c r="A24" s="15"/>
    </row>
    <row r="25" spans="1:6" ht="31.5" customHeight="1" x14ac:dyDescent="0.3">
      <c r="A25" s="6"/>
      <c r="B25" s="6"/>
      <c r="C25" s="6"/>
      <c r="D25" s="6"/>
      <c r="E25" s="6"/>
      <c r="F25" s="6"/>
    </row>
    <row r="26" spans="1:6" ht="31.5" customHeight="1" x14ac:dyDescent="0.3">
      <c r="A26" s="6"/>
      <c r="B26" s="6"/>
      <c r="C26" s="6"/>
      <c r="D26" s="6"/>
      <c r="E26" s="6"/>
      <c r="F26" s="6"/>
    </row>
    <row r="27" spans="1:6" ht="31.5" customHeight="1" x14ac:dyDescent="0.3">
      <c r="A27" s="6"/>
      <c r="B27" s="6"/>
      <c r="C27" s="6"/>
      <c r="D27" s="6"/>
      <c r="E27" s="6"/>
      <c r="F27" s="6"/>
    </row>
    <row r="28" spans="1:6" ht="31.5" customHeight="1" x14ac:dyDescent="0.3">
      <c r="A28" s="6"/>
      <c r="B28" s="6"/>
      <c r="C28" s="6"/>
      <c r="D28" s="6"/>
      <c r="E28" s="6"/>
      <c r="F28" s="6"/>
    </row>
  </sheetData>
  <mergeCells count="17">
    <mergeCell ref="A27:F27"/>
    <mergeCell ref="A28:F28"/>
    <mergeCell ref="B14:E14"/>
    <mergeCell ref="B15:E15"/>
    <mergeCell ref="B16:E16"/>
    <mergeCell ref="A25:F25"/>
    <mergeCell ref="A26:F26"/>
    <mergeCell ref="B9:E9"/>
    <mergeCell ref="B10:E10"/>
    <mergeCell ref="B11:E11"/>
    <mergeCell ref="B12:E12"/>
    <mergeCell ref="B13:E13"/>
    <mergeCell ref="A1:F1"/>
    <mergeCell ref="B5:E5"/>
    <mergeCell ref="B6:E6"/>
    <mergeCell ref="B7:E7"/>
    <mergeCell ref="B8:E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6"/>
  <sheetViews>
    <sheetView showGridLines="0" tabSelected="1" zoomScaleNormal="100" workbookViewId="0">
      <pane ySplit="4" topLeftCell="A5" activePane="bottomLeft" state="frozen"/>
      <selection pane="bottomLeft" activeCell="J5" sqref="J5"/>
    </sheetView>
  </sheetViews>
  <sheetFormatPr baseColWidth="10" defaultColWidth="8.6640625" defaultRowHeight="14.4" x14ac:dyDescent="0.3"/>
  <cols>
    <col min="1" max="1" width="5" customWidth="1"/>
    <col min="2" max="2" width="46" customWidth="1"/>
    <col min="3" max="3" width="22" customWidth="1"/>
    <col min="4" max="4" width="10" customWidth="1"/>
    <col min="5" max="5" width="14" customWidth="1"/>
    <col min="6" max="6" width="9" customWidth="1"/>
    <col min="7" max="7" width="12" customWidth="1"/>
    <col min="8" max="8" width="13" customWidth="1"/>
    <col min="9" max="9" width="10" customWidth="1"/>
    <col min="10" max="10" width="12" customWidth="1"/>
    <col min="11" max="11" width="10" customWidth="1"/>
    <col min="12" max="12" width="15" customWidth="1"/>
    <col min="14" max="15" width="11" customWidth="1"/>
  </cols>
  <sheetData>
    <row r="1" spans="1:15" ht="25.5" customHeight="1" x14ac:dyDescent="0.3">
      <c r="A1" s="14" t="s">
        <v>41</v>
      </c>
      <c r="B1" s="14"/>
      <c r="C1" s="14"/>
      <c r="D1" s="14"/>
      <c r="E1" s="14"/>
      <c r="F1" s="14"/>
      <c r="G1" s="14"/>
      <c r="H1" s="14"/>
      <c r="I1" s="14"/>
      <c r="J1" s="14"/>
      <c r="K1" s="14"/>
      <c r="L1" s="14"/>
    </row>
    <row r="2" spans="1:15" x14ac:dyDescent="0.3">
      <c r="A2" s="5" t="s">
        <v>214</v>
      </c>
      <c r="B2" s="5"/>
      <c r="C2" s="5"/>
      <c r="D2" s="5"/>
      <c r="E2" s="5"/>
      <c r="F2" s="5"/>
      <c r="G2" s="5"/>
      <c r="H2" s="5"/>
      <c r="I2" s="5"/>
      <c r="J2" s="5"/>
      <c r="K2" s="5"/>
      <c r="L2" s="5"/>
    </row>
    <row r="4" spans="1:15" ht="30" customHeight="1" x14ac:dyDescent="0.3">
      <c r="A4" s="16" t="s">
        <v>42</v>
      </c>
      <c r="B4" s="16" t="s">
        <v>43</v>
      </c>
      <c r="C4" s="16" t="s">
        <v>29</v>
      </c>
      <c r="D4" s="16" t="s">
        <v>44</v>
      </c>
      <c r="E4" s="16" t="s">
        <v>45</v>
      </c>
      <c r="F4" s="16" t="s">
        <v>46</v>
      </c>
      <c r="G4" s="16" t="s">
        <v>47</v>
      </c>
      <c r="H4" s="16" t="s">
        <v>48</v>
      </c>
      <c r="I4" s="16" t="s">
        <v>49</v>
      </c>
      <c r="J4" s="16" t="s">
        <v>50</v>
      </c>
      <c r="K4" s="16" t="s">
        <v>51</v>
      </c>
      <c r="L4" s="16" t="s">
        <v>52</v>
      </c>
      <c r="N4" s="33" t="s">
        <v>53</v>
      </c>
      <c r="O4" s="33" t="s">
        <v>54</v>
      </c>
    </row>
    <row r="5" spans="1:15" x14ac:dyDescent="0.3">
      <c r="A5" s="34">
        <v>1</v>
      </c>
      <c r="B5" s="17" t="s">
        <v>55</v>
      </c>
      <c r="C5" s="34" t="s">
        <v>37</v>
      </c>
      <c r="D5" s="35">
        <v>41.5</v>
      </c>
      <c r="E5" s="34" t="s">
        <v>56</v>
      </c>
      <c r="F5" s="36">
        <v>0.83099999999999996</v>
      </c>
      <c r="G5" s="35">
        <v>83.1</v>
      </c>
      <c r="H5" s="35">
        <v>0</v>
      </c>
      <c r="I5" s="34">
        <v>1</v>
      </c>
      <c r="J5" s="34">
        <v>2</v>
      </c>
      <c r="K5" s="34">
        <f t="shared" ref="K5:K22" si="0">J5-I5</f>
        <v>1</v>
      </c>
      <c r="L5" s="34" t="str">
        <f t="shared" ref="L5:L22" si="1">IF(K5&lt;&gt;0,"SÍ","No")</f>
        <v>SÍ</v>
      </c>
      <c r="N5" s="35" t="str">
        <f t="shared" ref="N5:N22" si="2">IF($C5="A · Nativo Word",$D5,"")</f>
        <v/>
      </c>
      <c r="O5" s="35">
        <f t="shared" ref="O5:O22" si="3">IF($C5="B · Convertido a Word",$D5,"")</f>
        <v>41.5</v>
      </c>
    </row>
    <row r="6" spans="1:15" x14ac:dyDescent="0.3">
      <c r="A6" s="37">
        <v>2</v>
      </c>
      <c r="B6" s="20" t="s">
        <v>57</v>
      </c>
      <c r="C6" s="37" t="s">
        <v>37</v>
      </c>
      <c r="D6" s="38">
        <v>87.2</v>
      </c>
      <c r="E6" s="37" t="s">
        <v>58</v>
      </c>
      <c r="F6" s="39">
        <v>0.83520000000000005</v>
      </c>
      <c r="G6" s="38">
        <v>83.5</v>
      </c>
      <c r="H6" s="38">
        <v>90.9</v>
      </c>
      <c r="I6" s="37">
        <v>11</v>
      </c>
      <c r="J6" s="37">
        <v>12</v>
      </c>
      <c r="K6" s="37">
        <f t="shared" si="0"/>
        <v>1</v>
      </c>
      <c r="L6" s="37" t="str">
        <f t="shared" si="1"/>
        <v>SÍ</v>
      </c>
      <c r="N6" s="35" t="str">
        <f t="shared" si="2"/>
        <v/>
      </c>
      <c r="O6" s="35">
        <f t="shared" si="3"/>
        <v>87.2</v>
      </c>
    </row>
    <row r="7" spans="1:15" x14ac:dyDescent="0.3">
      <c r="A7" s="34">
        <v>3</v>
      </c>
      <c r="B7" s="17" t="s">
        <v>59</v>
      </c>
      <c r="C7" s="34" t="s">
        <v>37</v>
      </c>
      <c r="D7" s="35">
        <v>87.3</v>
      </c>
      <c r="E7" s="34" t="s">
        <v>58</v>
      </c>
      <c r="F7" s="36">
        <v>0.74639999999999995</v>
      </c>
      <c r="G7" s="35">
        <v>74.599999999999994</v>
      </c>
      <c r="H7" s="35">
        <v>100</v>
      </c>
      <c r="I7" s="34">
        <v>5</v>
      </c>
      <c r="J7" s="34">
        <v>5</v>
      </c>
      <c r="K7" s="34">
        <f t="shared" si="0"/>
        <v>0</v>
      </c>
      <c r="L7" s="34" t="str">
        <f t="shared" si="1"/>
        <v>No</v>
      </c>
      <c r="N7" s="35" t="str">
        <f t="shared" si="2"/>
        <v/>
      </c>
      <c r="O7" s="35">
        <f t="shared" si="3"/>
        <v>87.3</v>
      </c>
    </row>
    <row r="8" spans="1:15" x14ac:dyDescent="0.3">
      <c r="A8" s="37">
        <v>4</v>
      </c>
      <c r="B8" s="20" t="s">
        <v>60</v>
      </c>
      <c r="C8" s="37" t="s">
        <v>37</v>
      </c>
      <c r="D8" s="38">
        <v>89.2</v>
      </c>
      <c r="E8" s="37" t="s">
        <v>58</v>
      </c>
      <c r="F8" s="39">
        <v>0.78310000000000002</v>
      </c>
      <c r="G8" s="38">
        <v>78.3</v>
      </c>
      <c r="H8" s="38">
        <v>100</v>
      </c>
      <c r="I8" s="37">
        <v>3</v>
      </c>
      <c r="J8" s="37">
        <v>3</v>
      </c>
      <c r="K8" s="37">
        <f t="shared" si="0"/>
        <v>0</v>
      </c>
      <c r="L8" s="37" t="str">
        <f t="shared" si="1"/>
        <v>No</v>
      </c>
      <c r="N8" s="35" t="str">
        <f t="shared" si="2"/>
        <v/>
      </c>
      <c r="O8" s="35">
        <f t="shared" si="3"/>
        <v>89.2</v>
      </c>
    </row>
    <row r="9" spans="1:15" x14ac:dyDescent="0.3">
      <c r="A9" s="34">
        <v>5</v>
      </c>
      <c r="B9" s="17" t="s">
        <v>61</v>
      </c>
      <c r="C9" s="34" t="s">
        <v>37</v>
      </c>
      <c r="D9" s="35">
        <v>92</v>
      </c>
      <c r="E9" s="34" t="s">
        <v>62</v>
      </c>
      <c r="F9" s="36">
        <v>0.83909999999999996</v>
      </c>
      <c r="G9" s="35">
        <v>83.9</v>
      </c>
      <c r="H9" s="35">
        <v>100</v>
      </c>
      <c r="I9" s="34">
        <v>2</v>
      </c>
      <c r="J9" s="34">
        <v>2</v>
      </c>
      <c r="K9" s="34">
        <f t="shared" si="0"/>
        <v>0</v>
      </c>
      <c r="L9" s="34" t="str">
        <f t="shared" si="1"/>
        <v>No</v>
      </c>
      <c r="N9" s="35" t="str">
        <f t="shared" si="2"/>
        <v/>
      </c>
      <c r="O9" s="35">
        <f t="shared" si="3"/>
        <v>92</v>
      </c>
    </row>
    <row r="10" spans="1:15" x14ac:dyDescent="0.3">
      <c r="A10" s="37">
        <v>6</v>
      </c>
      <c r="B10" s="20" t="s">
        <v>63</v>
      </c>
      <c r="C10" s="37" t="s">
        <v>37</v>
      </c>
      <c r="D10" s="38">
        <v>92.7</v>
      </c>
      <c r="E10" s="37" t="s">
        <v>62</v>
      </c>
      <c r="F10" s="39">
        <v>0.85340000000000005</v>
      </c>
      <c r="G10" s="38">
        <v>85.3</v>
      </c>
      <c r="H10" s="38">
        <v>100</v>
      </c>
      <c r="I10" s="37">
        <v>8</v>
      </c>
      <c r="J10" s="37">
        <v>8</v>
      </c>
      <c r="K10" s="37">
        <f t="shared" si="0"/>
        <v>0</v>
      </c>
      <c r="L10" s="37" t="str">
        <f t="shared" si="1"/>
        <v>No</v>
      </c>
      <c r="N10" s="35" t="str">
        <f t="shared" si="2"/>
        <v/>
      </c>
      <c r="O10" s="35">
        <f t="shared" si="3"/>
        <v>92.7</v>
      </c>
    </row>
    <row r="11" spans="1:15" x14ac:dyDescent="0.3">
      <c r="A11" s="34">
        <v>7</v>
      </c>
      <c r="B11" s="17" t="s">
        <v>64</v>
      </c>
      <c r="C11" s="34" t="s">
        <v>37</v>
      </c>
      <c r="D11" s="35">
        <v>93</v>
      </c>
      <c r="E11" s="34" t="s">
        <v>62</v>
      </c>
      <c r="F11" s="36">
        <v>0.8589</v>
      </c>
      <c r="G11" s="35">
        <v>85.9</v>
      </c>
      <c r="H11" s="35">
        <v>100</v>
      </c>
      <c r="I11" s="34">
        <v>2</v>
      </c>
      <c r="J11" s="34">
        <v>2</v>
      </c>
      <c r="K11" s="34">
        <f t="shared" si="0"/>
        <v>0</v>
      </c>
      <c r="L11" s="34" t="str">
        <f t="shared" si="1"/>
        <v>No</v>
      </c>
      <c r="N11" s="35" t="str">
        <f t="shared" si="2"/>
        <v/>
      </c>
      <c r="O11" s="35">
        <f t="shared" si="3"/>
        <v>93</v>
      </c>
    </row>
    <row r="12" spans="1:15" x14ac:dyDescent="0.3">
      <c r="A12" s="37">
        <v>8</v>
      </c>
      <c r="B12" s="20" t="s">
        <v>65</v>
      </c>
      <c r="C12" s="37" t="s">
        <v>35</v>
      </c>
      <c r="D12" s="38">
        <v>95</v>
      </c>
      <c r="E12" s="37" t="s">
        <v>66</v>
      </c>
      <c r="F12" s="39">
        <v>0.89959999999999996</v>
      </c>
      <c r="G12" s="38">
        <v>90</v>
      </c>
      <c r="H12" s="38">
        <v>100</v>
      </c>
      <c r="I12" s="37">
        <v>2</v>
      </c>
      <c r="J12" s="37">
        <v>2</v>
      </c>
      <c r="K12" s="37">
        <f t="shared" si="0"/>
        <v>0</v>
      </c>
      <c r="L12" s="37" t="str">
        <f t="shared" si="1"/>
        <v>No</v>
      </c>
      <c r="N12" s="35">
        <f t="shared" si="2"/>
        <v>95</v>
      </c>
      <c r="O12" s="35" t="str">
        <f t="shared" si="3"/>
        <v/>
      </c>
    </row>
    <row r="13" spans="1:15" x14ac:dyDescent="0.3">
      <c r="A13" s="34">
        <v>9</v>
      </c>
      <c r="B13" s="17" t="s">
        <v>67</v>
      </c>
      <c r="C13" s="34" t="s">
        <v>37</v>
      </c>
      <c r="D13" s="35">
        <v>95.2</v>
      </c>
      <c r="E13" s="34" t="s">
        <v>66</v>
      </c>
      <c r="F13" s="36">
        <v>0.90280000000000005</v>
      </c>
      <c r="G13" s="35">
        <v>90.3</v>
      </c>
      <c r="H13" s="35">
        <v>100</v>
      </c>
      <c r="I13" s="34">
        <v>2</v>
      </c>
      <c r="J13" s="34">
        <v>2</v>
      </c>
      <c r="K13" s="34">
        <f t="shared" si="0"/>
        <v>0</v>
      </c>
      <c r="L13" s="34" t="str">
        <f t="shared" si="1"/>
        <v>No</v>
      </c>
      <c r="N13" s="35" t="str">
        <f t="shared" si="2"/>
        <v/>
      </c>
      <c r="O13" s="35">
        <f t="shared" si="3"/>
        <v>95.2</v>
      </c>
    </row>
    <row r="14" spans="1:15" x14ac:dyDescent="0.3">
      <c r="A14" s="37">
        <v>10</v>
      </c>
      <c r="B14" s="20" t="s">
        <v>68</v>
      </c>
      <c r="C14" s="37" t="s">
        <v>35</v>
      </c>
      <c r="D14" s="38">
        <v>97.4</v>
      </c>
      <c r="E14" s="37" t="s">
        <v>66</v>
      </c>
      <c r="F14" s="39">
        <v>0.94850000000000001</v>
      </c>
      <c r="G14" s="38">
        <v>94.8</v>
      </c>
      <c r="H14" s="38">
        <v>100</v>
      </c>
      <c r="I14" s="37">
        <v>1</v>
      </c>
      <c r="J14" s="37">
        <v>1</v>
      </c>
      <c r="K14" s="37">
        <f t="shared" si="0"/>
        <v>0</v>
      </c>
      <c r="L14" s="37" t="str">
        <f t="shared" si="1"/>
        <v>No</v>
      </c>
      <c r="N14" s="35">
        <f t="shared" si="2"/>
        <v>97.4</v>
      </c>
      <c r="O14" s="35" t="str">
        <f t="shared" si="3"/>
        <v/>
      </c>
    </row>
    <row r="15" spans="1:15" x14ac:dyDescent="0.3">
      <c r="A15" s="34">
        <v>11</v>
      </c>
      <c r="B15" s="17" t="s">
        <v>69</v>
      </c>
      <c r="C15" s="34" t="s">
        <v>37</v>
      </c>
      <c r="D15" s="35">
        <v>97.8</v>
      </c>
      <c r="E15" s="34" t="s">
        <v>66</v>
      </c>
      <c r="F15" s="36">
        <v>0.95609999999999995</v>
      </c>
      <c r="G15" s="35">
        <v>95.6</v>
      </c>
      <c r="H15" s="35">
        <v>100</v>
      </c>
      <c r="I15" s="34">
        <v>16</v>
      </c>
      <c r="J15" s="34">
        <v>16</v>
      </c>
      <c r="K15" s="34">
        <f t="shared" si="0"/>
        <v>0</v>
      </c>
      <c r="L15" s="34" t="str">
        <f t="shared" si="1"/>
        <v>No</v>
      </c>
      <c r="N15" s="35" t="str">
        <f t="shared" si="2"/>
        <v/>
      </c>
      <c r="O15" s="35">
        <f t="shared" si="3"/>
        <v>97.8</v>
      </c>
    </row>
    <row r="16" spans="1:15" x14ac:dyDescent="0.3">
      <c r="A16" s="37">
        <v>12</v>
      </c>
      <c r="B16" s="20" t="s">
        <v>70</v>
      </c>
      <c r="C16" s="37" t="s">
        <v>35</v>
      </c>
      <c r="D16" s="38">
        <v>98</v>
      </c>
      <c r="E16" s="37" t="s">
        <v>66</v>
      </c>
      <c r="F16" s="39">
        <v>0.9587</v>
      </c>
      <c r="G16" s="38">
        <v>95.9</v>
      </c>
      <c r="H16" s="38">
        <v>100</v>
      </c>
      <c r="I16" s="37">
        <v>4</v>
      </c>
      <c r="J16" s="37">
        <v>4</v>
      </c>
      <c r="K16" s="37">
        <f t="shared" si="0"/>
        <v>0</v>
      </c>
      <c r="L16" s="37" t="str">
        <f t="shared" si="1"/>
        <v>No</v>
      </c>
      <c r="N16" s="35">
        <f t="shared" si="2"/>
        <v>98</v>
      </c>
      <c r="O16" s="35" t="str">
        <f t="shared" si="3"/>
        <v/>
      </c>
    </row>
    <row r="17" spans="1:15" x14ac:dyDescent="0.3">
      <c r="A17" s="34">
        <v>13</v>
      </c>
      <c r="B17" s="17" t="s">
        <v>71</v>
      </c>
      <c r="C17" s="34" t="s">
        <v>37</v>
      </c>
      <c r="D17" s="35">
        <v>98.2</v>
      </c>
      <c r="E17" s="34" t="s">
        <v>66</v>
      </c>
      <c r="F17" s="36">
        <v>0.96389999999999998</v>
      </c>
      <c r="G17" s="35">
        <v>96.4</v>
      </c>
      <c r="H17" s="35">
        <v>100</v>
      </c>
      <c r="I17" s="34">
        <v>12</v>
      </c>
      <c r="J17" s="34">
        <v>12</v>
      </c>
      <c r="K17" s="34">
        <f t="shared" si="0"/>
        <v>0</v>
      </c>
      <c r="L17" s="34" t="str">
        <f t="shared" si="1"/>
        <v>No</v>
      </c>
      <c r="N17" s="35" t="str">
        <f t="shared" si="2"/>
        <v/>
      </c>
      <c r="O17" s="35">
        <f t="shared" si="3"/>
        <v>98.2</v>
      </c>
    </row>
    <row r="18" spans="1:15" x14ac:dyDescent="0.3">
      <c r="A18" s="37">
        <v>14</v>
      </c>
      <c r="B18" s="20" t="s">
        <v>72</v>
      </c>
      <c r="C18" s="37" t="s">
        <v>35</v>
      </c>
      <c r="D18" s="38">
        <v>98.5</v>
      </c>
      <c r="E18" s="37" t="s">
        <v>66</v>
      </c>
      <c r="F18" s="39">
        <v>0.97</v>
      </c>
      <c r="G18" s="38">
        <v>97</v>
      </c>
      <c r="H18" s="38">
        <v>100</v>
      </c>
      <c r="I18" s="37">
        <v>1</v>
      </c>
      <c r="J18" s="37">
        <v>1</v>
      </c>
      <c r="K18" s="37">
        <f t="shared" si="0"/>
        <v>0</v>
      </c>
      <c r="L18" s="37" t="str">
        <f t="shared" si="1"/>
        <v>No</v>
      </c>
      <c r="N18" s="35">
        <f t="shared" si="2"/>
        <v>98.5</v>
      </c>
      <c r="O18" s="35" t="str">
        <f t="shared" si="3"/>
        <v/>
      </c>
    </row>
    <row r="19" spans="1:15" x14ac:dyDescent="0.3">
      <c r="A19" s="34">
        <v>15</v>
      </c>
      <c r="B19" s="17" t="s">
        <v>73</v>
      </c>
      <c r="C19" s="34" t="s">
        <v>35</v>
      </c>
      <c r="D19" s="35">
        <v>98.5</v>
      </c>
      <c r="E19" s="34" t="s">
        <v>66</v>
      </c>
      <c r="F19" s="36">
        <v>0.96909999999999996</v>
      </c>
      <c r="G19" s="35">
        <v>96.9</v>
      </c>
      <c r="H19" s="35">
        <v>100</v>
      </c>
      <c r="I19" s="34">
        <v>1</v>
      </c>
      <c r="J19" s="34">
        <v>1</v>
      </c>
      <c r="K19" s="34">
        <f t="shared" si="0"/>
        <v>0</v>
      </c>
      <c r="L19" s="34" t="str">
        <f t="shared" si="1"/>
        <v>No</v>
      </c>
      <c r="N19" s="35">
        <f t="shared" si="2"/>
        <v>98.5</v>
      </c>
      <c r="O19" s="35" t="str">
        <f t="shared" si="3"/>
        <v/>
      </c>
    </row>
    <row r="20" spans="1:15" x14ac:dyDescent="0.3">
      <c r="A20" s="37">
        <v>16</v>
      </c>
      <c r="B20" s="20" t="s">
        <v>74</v>
      </c>
      <c r="C20" s="37" t="s">
        <v>35</v>
      </c>
      <c r="D20" s="38">
        <v>98.5</v>
      </c>
      <c r="E20" s="37" t="s">
        <v>66</v>
      </c>
      <c r="F20" s="39">
        <v>0.97140000000000004</v>
      </c>
      <c r="G20" s="38">
        <v>97.1</v>
      </c>
      <c r="H20" s="38">
        <v>100</v>
      </c>
      <c r="I20" s="37">
        <v>1</v>
      </c>
      <c r="J20" s="37">
        <v>1</v>
      </c>
      <c r="K20" s="37">
        <f t="shared" si="0"/>
        <v>0</v>
      </c>
      <c r="L20" s="37" t="str">
        <f t="shared" si="1"/>
        <v>No</v>
      </c>
      <c r="N20" s="35">
        <f t="shared" si="2"/>
        <v>98.5</v>
      </c>
      <c r="O20" s="35" t="str">
        <f t="shared" si="3"/>
        <v/>
      </c>
    </row>
    <row r="21" spans="1:15" x14ac:dyDescent="0.3">
      <c r="A21" s="34">
        <v>17</v>
      </c>
      <c r="B21" s="17" t="s">
        <v>75</v>
      </c>
      <c r="C21" s="34" t="s">
        <v>35</v>
      </c>
      <c r="D21" s="35">
        <v>98.7</v>
      </c>
      <c r="E21" s="34" t="s">
        <v>66</v>
      </c>
      <c r="F21" s="36">
        <v>0.97340000000000004</v>
      </c>
      <c r="G21" s="35">
        <v>97.3</v>
      </c>
      <c r="H21" s="35">
        <v>100</v>
      </c>
      <c r="I21" s="34">
        <v>3</v>
      </c>
      <c r="J21" s="34">
        <v>3</v>
      </c>
      <c r="K21" s="34">
        <f t="shared" si="0"/>
        <v>0</v>
      </c>
      <c r="L21" s="34" t="str">
        <f t="shared" si="1"/>
        <v>No</v>
      </c>
      <c r="N21" s="35">
        <f t="shared" si="2"/>
        <v>98.7</v>
      </c>
      <c r="O21" s="35" t="str">
        <f t="shared" si="3"/>
        <v/>
      </c>
    </row>
    <row r="22" spans="1:15" x14ac:dyDescent="0.3">
      <c r="A22" s="37">
        <v>18</v>
      </c>
      <c r="B22" s="20" t="s">
        <v>76</v>
      </c>
      <c r="C22" s="37" t="s">
        <v>35</v>
      </c>
      <c r="D22" s="38">
        <v>99.3</v>
      </c>
      <c r="E22" s="37" t="s">
        <v>66</v>
      </c>
      <c r="F22" s="39">
        <v>0.98629999999999995</v>
      </c>
      <c r="G22" s="38">
        <v>98.6</v>
      </c>
      <c r="H22" s="38">
        <v>100</v>
      </c>
      <c r="I22" s="37">
        <v>1</v>
      </c>
      <c r="J22" s="37">
        <v>1</v>
      </c>
      <c r="K22" s="37">
        <f t="shared" si="0"/>
        <v>0</v>
      </c>
      <c r="L22" s="37" t="str">
        <f t="shared" si="1"/>
        <v>No</v>
      </c>
      <c r="N22" s="35">
        <f t="shared" si="2"/>
        <v>99.3</v>
      </c>
      <c r="O22" s="35" t="str">
        <f t="shared" si="3"/>
        <v/>
      </c>
    </row>
    <row r="24" spans="1:15" x14ac:dyDescent="0.3">
      <c r="A24" s="40" t="s">
        <v>77</v>
      </c>
      <c r="D24" s="41">
        <v>90</v>
      </c>
      <c r="E24" s="32"/>
    </row>
    <row r="25" spans="1:15" x14ac:dyDescent="0.3">
      <c r="A25" s="40" t="s">
        <v>78</v>
      </c>
      <c r="D25" s="4" t="s">
        <v>79</v>
      </c>
      <c r="E25" s="4"/>
      <c r="F25" s="4"/>
      <c r="G25" s="4"/>
      <c r="H25" s="4"/>
    </row>
    <row r="26" spans="1:15" x14ac:dyDescent="0.3">
      <c r="A26" s="5" t="s">
        <v>215</v>
      </c>
      <c r="B26" s="5"/>
      <c r="C26" s="5"/>
      <c r="D26" s="5"/>
      <c r="E26" s="5"/>
      <c r="F26" s="5"/>
      <c r="G26" s="5"/>
      <c r="H26" s="5"/>
      <c r="I26" s="5"/>
      <c r="J26" s="5"/>
      <c r="K26" s="5"/>
      <c r="L26" s="5"/>
    </row>
  </sheetData>
  <mergeCells count="4">
    <mergeCell ref="A1:L1"/>
    <mergeCell ref="A2:L2"/>
    <mergeCell ref="D25:H25"/>
    <mergeCell ref="A26:L26"/>
  </mergeCells>
  <conditionalFormatting sqref="D5:D22">
    <cfRule type="cellIs" dxfId="2" priority="2" operator="lessThan">
      <formula>70</formula>
    </cfRule>
    <cfRule type="cellIs" dxfId="1" priority="3" operator="between">
      <formula>70</formula>
      <formula>89.999</formula>
    </cfRule>
    <cfRule type="cellIs" dxfId="0" priority="4" operator="greaterThanOrEqual">
      <formula>95</formula>
    </cfRule>
  </conditionalFormatting>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4"/>
  <sheetViews>
    <sheetView showGridLines="0" zoomScaleNormal="100" workbookViewId="0">
      <selection activeCell="H8" sqref="H8"/>
    </sheetView>
  </sheetViews>
  <sheetFormatPr baseColWidth="10" defaultColWidth="8.6640625" defaultRowHeight="14.4" x14ac:dyDescent="0.3"/>
  <cols>
    <col min="1" max="1" width="34" customWidth="1"/>
    <col min="2" max="7" width="15" customWidth="1"/>
    <col min="8" max="8" width="34" customWidth="1"/>
  </cols>
  <sheetData>
    <row r="1" spans="1:8" ht="25.5" customHeight="1" x14ac:dyDescent="0.3">
      <c r="A1" s="14" t="s">
        <v>80</v>
      </c>
      <c r="B1" s="14"/>
      <c r="C1" s="14"/>
      <c r="D1" s="14"/>
      <c r="E1" s="14"/>
      <c r="F1" s="14"/>
      <c r="G1" s="14"/>
      <c r="H1" s="14"/>
    </row>
    <row r="3" spans="1:8" x14ac:dyDescent="0.3">
      <c r="A3" s="15" t="s">
        <v>81</v>
      </c>
    </row>
    <row r="4" spans="1:8" ht="30" customHeight="1" x14ac:dyDescent="0.3">
      <c r="A4" s="16" t="s">
        <v>82</v>
      </c>
      <c r="B4" s="16" t="s">
        <v>83</v>
      </c>
      <c r="C4" s="16" t="s">
        <v>84</v>
      </c>
      <c r="D4" s="16" t="s">
        <v>85</v>
      </c>
      <c r="E4" s="16" t="s">
        <v>86</v>
      </c>
      <c r="F4" s="16"/>
      <c r="G4" s="16"/>
      <c r="H4" s="16" t="s">
        <v>87</v>
      </c>
    </row>
    <row r="5" spans="1:8" x14ac:dyDescent="0.3">
      <c r="A5" s="25" t="s">
        <v>88</v>
      </c>
      <c r="B5" s="42">
        <f>COUNT(Datos!$D$5:$D$22)</f>
        <v>18</v>
      </c>
      <c r="C5" s="42">
        <f>COUNTIF(Datos!$C$5:$C$22,"A · Nativo Word")</f>
        <v>8</v>
      </c>
      <c r="D5" s="42">
        <f>COUNTIF(Datos!$C$5:$C$22,"B · Convertido a Word")</f>
        <v>10</v>
      </c>
      <c r="E5" s="42">
        <f t="shared" ref="E5:E13" si="0">C5-D5</f>
        <v>-2</v>
      </c>
      <c r="H5" s="19" t="s">
        <v>89</v>
      </c>
    </row>
    <row r="6" spans="1:8" x14ac:dyDescent="0.3">
      <c r="A6" s="43" t="s">
        <v>90</v>
      </c>
      <c r="B6" s="44">
        <f>AVERAGE(Datos!$D$5:$D$22)</f>
        <v>92.111111111111114</v>
      </c>
      <c r="C6" s="44">
        <f>AVERAGEIF(Datos!$C$5:$C$22,"A · Nativo Word",Datos!$D$5:$D$22)</f>
        <v>97.987499999999997</v>
      </c>
      <c r="D6" s="44">
        <f>AVERAGEIF(Datos!$C$5:$C$22,"B · Convertido a Word",Datos!$D$5:$D$22)</f>
        <v>87.41</v>
      </c>
      <c r="E6" s="44">
        <f t="shared" si="0"/>
        <v>10.577500000000001</v>
      </c>
      <c r="H6" s="21" t="s">
        <v>91</v>
      </c>
    </row>
    <row r="7" spans="1:8" x14ac:dyDescent="0.3">
      <c r="A7" s="25" t="s">
        <v>92</v>
      </c>
      <c r="B7" s="45">
        <f>MEDIAN(Datos!$D$5:$D$22)</f>
        <v>96.300000000000011</v>
      </c>
      <c r="C7" s="45">
        <f>MEDIAN(Datos!$N$5:$N$22)</f>
        <v>98.5</v>
      </c>
      <c r="D7" s="45">
        <f>MEDIAN(Datos!$O$5:$O$22)</f>
        <v>92.35</v>
      </c>
      <c r="E7" s="45">
        <f t="shared" si="0"/>
        <v>6.1500000000000057</v>
      </c>
      <c r="H7" s="19" t="s">
        <v>93</v>
      </c>
    </row>
    <row r="8" spans="1:8" x14ac:dyDescent="0.3">
      <c r="A8" s="43" t="s">
        <v>14</v>
      </c>
      <c r="B8" s="44">
        <f>STDEV(Datos!$D$5:$D$22)</f>
        <v>13.252963659183326</v>
      </c>
      <c r="C8" s="44">
        <f>STDEV(Datos!$N$5:$N$22)</f>
        <v>1.3249663068492394</v>
      </c>
      <c r="D8" s="44">
        <f>STDEV(Datos!$O$5:$O$22)</f>
        <v>16.587642656172971</v>
      </c>
      <c r="E8" s="44">
        <f t="shared" si="0"/>
        <v>-15.262676349323732</v>
      </c>
      <c r="H8" s="21" t="s">
        <v>94</v>
      </c>
    </row>
    <row r="9" spans="1:8" x14ac:dyDescent="0.3">
      <c r="A9" s="25" t="s">
        <v>95</v>
      </c>
      <c r="B9" s="45">
        <f>MIN(Datos!$D$5:$D$22)</f>
        <v>41.5</v>
      </c>
      <c r="C9" s="45">
        <f>MIN(Datos!$N$5:$N$22)</f>
        <v>95</v>
      </c>
      <c r="D9" s="45">
        <f>MIN(Datos!$O$5:$O$22)</f>
        <v>41.5</v>
      </c>
      <c r="E9" s="45">
        <f t="shared" si="0"/>
        <v>53.5</v>
      </c>
      <c r="H9" s="19" t="s">
        <v>96</v>
      </c>
    </row>
    <row r="10" spans="1:8" x14ac:dyDescent="0.3">
      <c r="A10" s="43" t="s">
        <v>97</v>
      </c>
      <c r="B10" s="44">
        <f>MAX(Datos!$D$5:$D$22)</f>
        <v>99.3</v>
      </c>
      <c r="C10" s="44">
        <f>MAX(Datos!$N$5:$N$22)</f>
        <v>99.3</v>
      </c>
      <c r="D10" s="44">
        <f>MAX(Datos!$O$5:$O$22)</f>
        <v>98.2</v>
      </c>
      <c r="E10" s="44">
        <f t="shared" si="0"/>
        <v>1.0999999999999943</v>
      </c>
      <c r="H10" s="21" t="s">
        <v>98</v>
      </c>
    </row>
    <row r="11" spans="1:8" x14ac:dyDescent="0.3">
      <c r="A11" s="25" t="s">
        <v>32</v>
      </c>
      <c r="B11" s="36">
        <f>AVERAGE(Datos!$F$5:$F$22)</f>
        <v>0.90260555555555533</v>
      </c>
      <c r="C11" s="36">
        <f>AVERAGEIF(Datos!$C$5:$C$22,"A · Nativo Word",Datos!$F$5:$F$22)</f>
        <v>0.95962499999999995</v>
      </c>
      <c r="D11" s="36">
        <f>AVERAGEIF(Datos!$C$5:$C$22,"B · Convertido a Word",Datos!$F$5:$F$22)</f>
        <v>0.85699000000000003</v>
      </c>
      <c r="E11" s="36">
        <f t="shared" si="0"/>
        <v>0.10263499999999992</v>
      </c>
      <c r="H11" s="19" t="s">
        <v>99</v>
      </c>
    </row>
    <row r="12" spans="1:8" x14ac:dyDescent="0.3">
      <c r="A12" s="43" t="s">
        <v>100</v>
      </c>
      <c r="B12" s="46">
        <f>COUNTIF(Datos!$D$5:$D$22,"&lt;"&amp;Datos!$D$24)</f>
        <v>4</v>
      </c>
      <c r="C12" s="46">
        <f>COUNTIFS(Datos!$C$5:$C$22,"A · Nativo Word",Datos!$D$5:$D$22,"&lt;"&amp;Datos!$D$24)</f>
        <v>0</v>
      </c>
      <c r="D12" s="46">
        <f>COUNTIFS(Datos!$C$5:$C$22,"B · Convertido a Word",Datos!$D$5:$D$22,"&lt;"&amp;Datos!$D$24)</f>
        <v>4</v>
      </c>
      <c r="E12" s="46">
        <f t="shared" si="0"/>
        <v>-4</v>
      </c>
      <c r="H12" s="21" t="s">
        <v>101</v>
      </c>
    </row>
    <row r="13" spans="1:8" x14ac:dyDescent="0.3">
      <c r="A13" s="25" t="s">
        <v>33</v>
      </c>
      <c r="B13" s="42">
        <f>COUNTIF(Datos!$K$5:$K$22,"&lt;&gt;0")</f>
        <v>2</v>
      </c>
      <c r="C13" s="42">
        <f>COUNTIFS(Datos!$C$5:$C$22,"A · Nativo Word",Datos!$K$5:$K$22,"&lt;&gt;0")</f>
        <v>0</v>
      </c>
      <c r="D13" s="42">
        <f>COUNTIFS(Datos!$C$5:$C$22,"B · Convertido a Word",Datos!$K$5:$K$22,"&lt;&gt;0")</f>
        <v>2</v>
      </c>
      <c r="E13" s="42">
        <f t="shared" si="0"/>
        <v>-2</v>
      </c>
      <c r="H13" s="19" t="s">
        <v>102</v>
      </c>
    </row>
    <row r="15" spans="1:8" x14ac:dyDescent="0.3">
      <c r="A15" s="5" t="s">
        <v>103</v>
      </c>
      <c r="B15" s="5"/>
      <c r="C15" s="5"/>
      <c r="D15" s="5"/>
      <c r="E15" s="5"/>
      <c r="F15" s="5"/>
      <c r="G15" s="5"/>
      <c r="H15" s="5"/>
    </row>
    <row r="17" spans="1:8" x14ac:dyDescent="0.3">
      <c r="A17" s="15" t="s">
        <v>104</v>
      </c>
    </row>
    <row r="18" spans="1:8" ht="30" customHeight="1" x14ac:dyDescent="0.3">
      <c r="A18" s="16" t="s">
        <v>45</v>
      </c>
      <c r="B18" s="16" t="s">
        <v>105</v>
      </c>
      <c r="C18" s="16" t="s">
        <v>106</v>
      </c>
      <c r="D18" s="16" t="s">
        <v>107</v>
      </c>
      <c r="E18" s="16"/>
      <c r="F18" s="16"/>
      <c r="G18" s="16"/>
      <c r="H18" s="16" t="s">
        <v>108</v>
      </c>
    </row>
    <row r="19" spans="1:8" x14ac:dyDescent="0.3">
      <c r="A19" s="25" t="s">
        <v>66</v>
      </c>
      <c r="B19" s="47" t="s">
        <v>109</v>
      </c>
      <c r="C19" s="18">
        <f>COUNTIF(Datos!$E$5:$E$22,"Alta")</f>
        <v>11</v>
      </c>
      <c r="D19" s="48">
        <f>COUNTIF(Datos!$E$5:$E$22,"Alta")/COUNT(Datos!$D$5:$D$22)</f>
        <v>0.61111111111111116</v>
      </c>
      <c r="H19" s="19" t="s">
        <v>110</v>
      </c>
    </row>
    <row r="20" spans="1:8" x14ac:dyDescent="0.3">
      <c r="A20" s="43" t="s">
        <v>62</v>
      </c>
      <c r="B20" s="49" t="s">
        <v>111</v>
      </c>
      <c r="C20" s="24">
        <f>COUNTIF(Datos!$E$5:$E$22,"Aceptable")</f>
        <v>3</v>
      </c>
      <c r="D20" s="23">
        <f>COUNTIF(Datos!$E$5:$E$22,"Aceptable")/COUNT(Datos!$D$5:$D$22)</f>
        <v>0.16666666666666666</v>
      </c>
      <c r="H20" s="21" t="s">
        <v>112</v>
      </c>
    </row>
    <row r="21" spans="1:8" x14ac:dyDescent="0.3">
      <c r="A21" s="25" t="s">
        <v>58</v>
      </c>
      <c r="B21" s="47" t="s">
        <v>113</v>
      </c>
      <c r="C21" s="18">
        <f>COUNTIF(Datos!$E$5:$E$22,"Baja")</f>
        <v>3</v>
      </c>
      <c r="D21" s="48">
        <f>COUNTIF(Datos!$E$5:$E$22,"Baja")/COUNT(Datos!$D$5:$D$22)</f>
        <v>0.16666666666666666</v>
      </c>
      <c r="H21" s="19" t="s">
        <v>114</v>
      </c>
    </row>
    <row r="22" spans="1:8" x14ac:dyDescent="0.3">
      <c r="A22" s="43" t="s">
        <v>115</v>
      </c>
      <c r="B22" s="49" t="s">
        <v>116</v>
      </c>
      <c r="C22" s="24">
        <f>COUNTIF(Datos!$E$5:$E$22,"Critica")</f>
        <v>1</v>
      </c>
      <c r="D22" s="23">
        <f>COUNTIF(Datos!$E$5:$E$22,"Critica")/COUNT(Datos!$D$5:$D$22)</f>
        <v>5.5555555555555552E-2</v>
      </c>
      <c r="H22" s="21" t="s">
        <v>117</v>
      </c>
    </row>
    <row r="23" spans="1:8" x14ac:dyDescent="0.3">
      <c r="A23" s="27" t="s">
        <v>118</v>
      </c>
      <c r="B23" s="27"/>
      <c r="C23" s="50">
        <f>SUM(C19:C22)</f>
        <v>18</v>
      </c>
      <c r="D23" s="51">
        <f>SUM(D19:D22)</f>
        <v>1</v>
      </c>
    </row>
    <row r="25" spans="1:8" x14ac:dyDescent="0.3">
      <c r="A25" s="15" t="s">
        <v>119</v>
      </c>
    </row>
    <row r="26" spans="1:8" ht="30" customHeight="1" x14ac:dyDescent="0.3">
      <c r="A26" s="16" t="s">
        <v>43</v>
      </c>
      <c r="B26" s="16" t="s">
        <v>46</v>
      </c>
      <c r="C26" s="16" t="s">
        <v>120</v>
      </c>
      <c r="D26" s="16" t="s">
        <v>121</v>
      </c>
      <c r="E26" s="16" t="s">
        <v>122</v>
      </c>
      <c r="F26" s="16" t="s">
        <v>123</v>
      </c>
      <c r="G26" s="16" t="s">
        <v>124</v>
      </c>
      <c r="H26" s="16" t="s">
        <v>34</v>
      </c>
    </row>
    <row r="27" spans="1:8" x14ac:dyDescent="0.3">
      <c r="A27" s="17" t="s">
        <v>55</v>
      </c>
      <c r="B27" s="36">
        <f>Datos!F5</f>
        <v>0.83099999999999996</v>
      </c>
      <c r="C27" s="42">
        <f t="shared" ref="C27:C44" si="1">RANK(B27,$B$27:$B$44,1)</f>
        <v>3</v>
      </c>
      <c r="D27" s="35">
        <f>Datos!D5</f>
        <v>41.5</v>
      </c>
      <c r="E27" s="42">
        <f t="shared" ref="E27:E44" si="2">RANK(D27,$D$27:$D$44,1)</f>
        <v>1</v>
      </c>
      <c r="F27" s="42">
        <f t="shared" ref="F27:F44" si="3">C27-E27</f>
        <v>2</v>
      </c>
      <c r="G27" s="42">
        <f t="shared" ref="G27:G44" si="4">ABS(F27)</f>
        <v>2</v>
      </c>
      <c r="H27" s="52" t="str">
        <f t="shared" ref="H27:H44" si="5">IF(ABS(F27)&gt;=3,"Reordenamiento relevante","")</f>
        <v/>
      </c>
    </row>
    <row r="28" spans="1:8" x14ac:dyDescent="0.3">
      <c r="A28" s="20" t="s">
        <v>57</v>
      </c>
      <c r="B28" s="39">
        <f>Datos!F6</f>
        <v>0.83520000000000005</v>
      </c>
      <c r="C28" s="46">
        <f t="shared" si="1"/>
        <v>4</v>
      </c>
      <c r="D28" s="38">
        <f>Datos!D6</f>
        <v>87.2</v>
      </c>
      <c r="E28" s="46">
        <f t="shared" si="2"/>
        <v>2</v>
      </c>
      <c r="F28" s="46">
        <f t="shared" si="3"/>
        <v>2</v>
      </c>
      <c r="G28" s="46">
        <f t="shared" si="4"/>
        <v>2</v>
      </c>
      <c r="H28" s="53" t="str">
        <f t="shared" si="5"/>
        <v/>
      </c>
    </row>
    <row r="29" spans="1:8" x14ac:dyDescent="0.3">
      <c r="A29" s="17" t="s">
        <v>125</v>
      </c>
      <c r="B29" s="36">
        <f>Datos!F7</f>
        <v>0.74639999999999995</v>
      </c>
      <c r="C29" s="42">
        <f>RANK(B29,$B$27:$B$44,1)</f>
        <v>1</v>
      </c>
      <c r="D29" s="35">
        <f>Datos!D7</f>
        <v>87.3</v>
      </c>
      <c r="E29" s="42">
        <f t="shared" si="2"/>
        <v>3</v>
      </c>
      <c r="F29" s="42">
        <f t="shared" si="3"/>
        <v>-2</v>
      </c>
      <c r="G29" s="42">
        <f t="shared" si="4"/>
        <v>2</v>
      </c>
      <c r="H29" s="52" t="str">
        <f t="shared" si="5"/>
        <v/>
      </c>
    </row>
    <row r="30" spans="1:8" x14ac:dyDescent="0.3">
      <c r="A30" s="20" t="s">
        <v>60</v>
      </c>
      <c r="B30" s="39">
        <f>Datos!F8</f>
        <v>0.78310000000000002</v>
      </c>
      <c r="C30" s="46">
        <f t="shared" si="1"/>
        <v>2</v>
      </c>
      <c r="D30" s="38">
        <f>Datos!D8</f>
        <v>89.2</v>
      </c>
      <c r="E30" s="46">
        <f t="shared" si="2"/>
        <v>4</v>
      </c>
      <c r="F30" s="46">
        <f t="shared" si="3"/>
        <v>-2</v>
      </c>
      <c r="G30" s="46">
        <f t="shared" si="4"/>
        <v>2</v>
      </c>
      <c r="H30" s="53" t="str">
        <f t="shared" si="5"/>
        <v/>
      </c>
    </row>
    <row r="31" spans="1:8" x14ac:dyDescent="0.3">
      <c r="A31" s="17" t="s">
        <v>61</v>
      </c>
      <c r="B31" s="36">
        <f>Datos!F9</f>
        <v>0.83909999999999996</v>
      </c>
      <c r="C31" s="42">
        <f t="shared" si="1"/>
        <v>5</v>
      </c>
      <c r="D31" s="35">
        <f>Datos!D9</f>
        <v>92</v>
      </c>
      <c r="E31" s="42">
        <f t="shared" si="2"/>
        <v>5</v>
      </c>
      <c r="F31" s="42">
        <f t="shared" si="3"/>
        <v>0</v>
      </c>
      <c r="G31" s="42">
        <f t="shared" si="4"/>
        <v>0</v>
      </c>
      <c r="H31" s="52" t="str">
        <f t="shared" si="5"/>
        <v/>
      </c>
    </row>
    <row r="32" spans="1:8" x14ac:dyDescent="0.3">
      <c r="A32" s="20" t="s">
        <v>126</v>
      </c>
      <c r="B32" s="39">
        <f>Datos!F10</f>
        <v>0.85340000000000005</v>
      </c>
      <c r="C32" s="46">
        <f t="shared" si="1"/>
        <v>6</v>
      </c>
      <c r="D32" s="38">
        <f>Datos!D10</f>
        <v>92.7</v>
      </c>
      <c r="E32" s="46">
        <f t="shared" si="2"/>
        <v>6</v>
      </c>
      <c r="F32" s="46">
        <f t="shared" si="3"/>
        <v>0</v>
      </c>
      <c r="G32" s="46">
        <f t="shared" si="4"/>
        <v>0</v>
      </c>
      <c r="H32" s="53" t="str">
        <f t="shared" si="5"/>
        <v/>
      </c>
    </row>
    <row r="33" spans="1:8" x14ac:dyDescent="0.3">
      <c r="A33" s="17" t="s">
        <v>64</v>
      </c>
      <c r="B33" s="36">
        <f>Datos!F11</f>
        <v>0.8589</v>
      </c>
      <c r="C33" s="42">
        <f t="shared" si="1"/>
        <v>7</v>
      </c>
      <c r="D33" s="35">
        <f>Datos!D11</f>
        <v>93</v>
      </c>
      <c r="E33" s="42">
        <f t="shared" si="2"/>
        <v>7</v>
      </c>
      <c r="F33" s="42">
        <f t="shared" si="3"/>
        <v>0</v>
      </c>
      <c r="G33" s="42">
        <f t="shared" si="4"/>
        <v>0</v>
      </c>
      <c r="H33" s="52" t="str">
        <f t="shared" si="5"/>
        <v/>
      </c>
    </row>
    <row r="34" spans="1:8" x14ac:dyDescent="0.3">
      <c r="A34" s="20" t="s">
        <v>65</v>
      </c>
      <c r="B34" s="39">
        <f>Datos!F12</f>
        <v>0.89959999999999996</v>
      </c>
      <c r="C34" s="46">
        <f t="shared" si="1"/>
        <v>8</v>
      </c>
      <c r="D34" s="38">
        <f>Datos!D12</f>
        <v>95</v>
      </c>
      <c r="E34" s="46">
        <f t="shared" si="2"/>
        <v>8</v>
      </c>
      <c r="F34" s="46">
        <f t="shared" si="3"/>
        <v>0</v>
      </c>
      <c r="G34" s="46">
        <f t="shared" si="4"/>
        <v>0</v>
      </c>
      <c r="H34" s="53" t="str">
        <f t="shared" si="5"/>
        <v/>
      </c>
    </row>
    <row r="35" spans="1:8" x14ac:dyDescent="0.3">
      <c r="A35" s="17" t="s">
        <v>67</v>
      </c>
      <c r="B35" s="36">
        <f>Datos!F13</f>
        <v>0.90280000000000005</v>
      </c>
      <c r="C35" s="42">
        <f t="shared" si="1"/>
        <v>9</v>
      </c>
      <c r="D35" s="35">
        <f>Datos!D13</f>
        <v>95.2</v>
      </c>
      <c r="E35" s="42">
        <f t="shared" si="2"/>
        <v>9</v>
      </c>
      <c r="F35" s="42">
        <f t="shared" si="3"/>
        <v>0</v>
      </c>
      <c r="G35" s="42">
        <f t="shared" si="4"/>
        <v>0</v>
      </c>
      <c r="H35" s="52" t="str">
        <f t="shared" si="5"/>
        <v/>
      </c>
    </row>
    <row r="36" spans="1:8" x14ac:dyDescent="0.3">
      <c r="A36" s="20" t="s">
        <v>68</v>
      </c>
      <c r="B36" s="39">
        <f>Datos!F14</f>
        <v>0.94850000000000001</v>
      </c>
      <c r="C36" s="46">
        <f t="shared" si="1"/>
        <v>10</v>
      </c>
      <c r="D36" s="38">
        <f>Datos!D14</f>
        <v>97.4</v>
      </c>
      <c r="E36" s="46">
        <f t="shared" si="2"/>
        <v>10</v>
      </c>
      <c r="F36" s="46">
        <f t="shared" si="3"/>
        <v>0</v>
      </c>
      <c r="G36" s="46">
        <f t="shared" si="4"/>
        <v>0</v>
      </c>
      <c r="H36" s="53" t="str">
        <f t="shared" si="5"/>
        <v/>
      </c>
    </row>
    <row r="37" spans="1:8" x14ac:dyDescent="0.3">
      <c r="A37" s="17" t="s">
        <v>69</v>
      </c>
      <c r="B37" s="36">
        <f>Datos!F15</f>
        <v>0.95609999999999995</v>
      </c>
      <c r="C37" s="42">
        <f t="shared" si="1"/>
        <v>11</v>
      </c>
      <c r="D37" s="35">
        <f>Datos!D15</f>
        <v>97.8</v>
      </c>
      <c r="E37" s="42">
        <f t="shared" si="2"/>
        <v>11</v>
      </c>
      <c r="F37" s="42">
        <f t="shared" si="3"/>
        <v>0</v>
      </c>
      <c r="G37" s="42">
        <f t="shared" si="4"/>
        <v>0</v>
      </c>
      <c r="H37" s="52" t="str">
        <f t="shared" si="5"/>
        <v/>
      </c>
    </row>
    <row r="38" spans="1:8" x14ac:dyDescent="0.3">
      <c r="A38" s="20" t="s">
        <v>70</v>
      </c>
      <c r="B38" s="39">
        <f>Datos!F16</f>
        <v>0.9587</v>
      </c>
      <c r="C38" s="46">
        <f t="shared" si="1"/>
        <v>12</v>
      </c>
      <c r="D38" s="38">
        <f>Datos!D16</f>
        <v>98</v>
      </c>
      <c r="E38" s="46">
        <f t="shared" si="2"/>
        <v>12</v>
      </c>
      <c r="F38" s="46">
        <f t="shared" si="3"/>
        <v>0</v>
      </c>
      <c r="G38" s="46">
        <f t="shared" si="4"/>
        <v>0</v>
      </c>
      <c r="H38" s="53" t="str">
        <f t="shared" si="5"/>
        <v/>
      </c>
    </row>
    <row r="39" spans="1:8" x14ac:dyDescent="0.3">
      <c r="A39" s="17" t="s">
        <v>71</v>
      </c>
      <c r="B39" s="36">
        <f>Datos!F17</f>
        <v>0.96389999999999998</v>
      </c>
      <c r="C39" s="42">
        <f t="shared" si="1"/>
        <v>13</v>
      </c>
      <c r="D39" s="35">
        <f>Datos!D17</f>
        <v>98.2</v>
      </c>
      <c r="E39" s="42">
        <f t="shared" si="2"/>
        <v>13</v>
      </c>
      <c r="F39" s="42">
        <f t="shared" si="3"/>
        <v>0</v>
      </c>
      <c r="G39" s="42">
        <f t="shared" si="4"/>
        <v>0</v>
      </c>
      <c r="H39" s="52" t="str">
        <f t="shared" si="5"/>
        <v/>
      </c>
    </row>
    <row r="40" spans="1:8" x14ac:dyDescent="0.3">
      <c r="A40" s="20" t="s">
        <v>72</v>
      </c>
      <c r="B40" s="39">
        <f>Datos!F18</f>
        <v>0.97</v>
      </c>
      <c r="C40" s="46">
        <f t="shared" si="1"/>
        <v>15</v>
      </c>
      <c r="D40" s="38">
        <f>Datos!D18</f>
        <v>98.5</v>
      </c>
      <c r="E40" s="46">
        <f t="shared" si="2"/>
        <v>14</v>
      </c>
      <c r="F40" s="46">
        <f t="shared" si="3"/>
        <v>1</v>
      </c>
      <c r="G40" s="46">
        <f t="shared" si="4"/>
        <v>1</v>
      </c>
      <c r="H40" s="53" t="str">
        <f t="shared" si="5"/>
        <v/>
      </c>
    </row>
    <row r="41" spans="1:8" x14ac:dyDescent="0.3">
      <c r="A41" s="17" t="s">
        <v>73</v>
      </c>
      <c r="B41" s="36">
        <f>Datos!F19</f>
        <v>0.96909999999999996</v>
      </c>
      <c r="C41" s="42">
        <f t="shared" si="1"/>
        <v>14</v>
      </c>
      <c r="D41" s="35">
        <f>Datos!D19</f>
        <v>98.5</v>
      </c>
      <c r="E41" s="42">
        <f t="shared" si="2"/>
        <v>14</v>
      </c>
      <c r="F41" s="42">
        <f t="shared" si="3"/>
        <v>0</v>
      </c>
      <c r="G41" s="42">
        <f t="shared" si="4"/>
        <v>0</v>
      </c>
      <c r="H41" s="52" t="str">
        <f t="shared" si="5"/>
        <v/>
      </c>
    </row>
    <row r="42" spans="1:8" x14ac:dyDescent="0.3">
      <c r="A42" s="20" t="s">
        <v>74</v>
      </c>
      <c r="B42" s="39">
        <f>Datos!F20</f>
        <v>0.97140000000000004</v>
      </c>
      <c r="C42" s="46">
        <f t="shared" si="1"/>
        <v>16</v>
      </c>
      <c r="D42" s="38">
        <f>Datos!D20</f>
        <v>98.5</v>
      </c>
      <c r="E42" s="46">
        <f t="shared" si="2"/>
        <v>14</v>
      </c>
      <c r="F42" s="46">
        <f t="shared" si="3"/>
        <v>2</v>
      </c>
      <c r="G42" s="46">
        <f t="shared" si="4"/>
        <v>2</v>
      </c>
      <c r="H42" s="53" t="str">
        <f t="shared" si="5"/>
        <v/>
      </c>
    </row>
    <row r="43" spans="1:8" x14ac:dyDescent="0.3">
      <c r="A43" s="17" t="s">
        <v>75</v>
      </c>
      <c r="B43" s="36">
        <f>Datos!F21</f>
        <v>0.97340000000000004</v>
      </c>
      <c r="C43" s="42">
        <f t="shared" si="1"/>
        <v>17</v>
      </c>
      <c r="D43" s="35">
        <f>Datos!D21</f>
        <v>98.7</v>
      </c>
      <c r="E43" s="42">
        <f t="shared" si="2"/>
        <v>17</v>
      </c>
      <c r="F43" s="42">
        <f t="shared" si="3"/>
        <v>0</v>
      </c>
      <c r="G43" s="42">
        <f t="shared" si="4"/>
        <v>0</v>
      </c>
      <c r="H43" s="52" t="str">
        <f t="shared" si="5"/>
        <v/>
      </c>
    </row>
    <row r="44" spans="1:8" x14ac:dyDescent="0.3">
      <c r="A44" s="20" t="s">
        <v>76</v>
      </c>
      <c r="B44" s="39">
        <f>Datos!F22</f>
        <v>0.98629999999999995</v>
      </c>
      <c r="C44" s="46">
        <f t="shared" si="1"/>
        <v>18</v>
      </c>
      <c r="D44" s="38">
        <f>Datos!D22</f>
        <v>99.3</v>
      </c>
      <c r="E44" s="46">
        <f t="shared" si="2"/>
        <v>18</v>
      </c>
      <c r="F44" s="46">
        <f t="shared" si="3"/>
        <v>0</v>
      </c>
      <c r="G44" s="46">
        <f t="shared" si="4"/>
        <v>0</v>
      </c>
      <c r="H44" s="53" t="str">
        <f t="shared" si="5"/>
        <v/>
      </c>
    </row>
    <row r="45" spans="1:8" x14ac:dyDescent="0.3">
      <c r="A45" s="40" t="s">
        <v>127</v>
      </c>
      <c r="D45" s="3" t="str">
        <f>INDEX(A27:A44,MATCH(MAX(G27:G44),G27:G44,0))</f>
        <v>solicitud_CTI-2026-317.docx</v>
      </c>
      <c r="E45" s="3"/>
      <c r="F45" s="3"/>
    </row>
    <row r="46" spans="1:8" x14ac:dyDescent="0.3">
      <c r="A46" s="5" t="s">
        <v>128</v>
      </c>
      <c r="B46" s="5"/>
      <c r="C46" s="5"/>
      <c r="D46" s="5"/>
      <c r="E46" s="5"/>
      <c r="F46" s="5"/>
      <c r="G46" s="5"/>
      <c r="H46" s="5"/>
    </row>
    <row r="48" spans="1:8" x14ac:dyDescent="0.3">
      <c r="A48" s="15" t="s">
        <v>129</v>
      </c>
    </row>
    <row r="49" spans="1:8" ht="30" customHeight="1" x14ac:dyDescent="0.3">
      <c r="A49" s="16" t="s">
        <v>130</v>
      </c>
      <c r="B49" s="16" t="s">
        <v>131</v>
      </c>
      <c r="C49" s="16"/>
      <c r="D49" s="16" t="s">
        <v>132</v>
      </c>
      <c r="E49" s="16" t="s">
        <v>133</v>
      </c>
      <c r="F49" s="16" t="s">
        <v>134</v>
      </c>
      <c r="G49" s="16" t="s">
        <v>135</v>
      </c>
      <c r="H49" s="16" t="s">
        <v>34</v>
      </c>
    </row>
    <row r="50" spans="1:8" ht="30" customHeight="1" x14ac:dyDescent="0.3">
      <c r="A50" s="54" t="s">
        <v>136</v>
      </c>
      <c r="B50" s="2" t="str">
        <f>INDEX($A$27:$A$44,MATCH(MIN($B$27:$B$44),$B$27:$B$44,0))</f>
        <v>OrdenCompra_IC-ESPOL-047-2026-signed-signed.</v>
      </c>
      <c r="C50" s="2"/>
      <c r="D50" s="26">
        <f>MIN($B$27:$B$44)</f>
        <v>0.74639999999999995</v>
      </c>
      <c r="E50" s="26">
        <f>SMALL($B$27:$B$44,2)</f>
        <v>0.78310000000000002</v>
      </c>
      <c r="F50" s="26">
        <f>E50-D50</f>
        <v>3.6700000000000066E-2</v>
      </c>
      <c r="G50" s="48">
        <f>F50/(MAX($B$27:$B$44)-MIN($B$27:$B$44))</f>
        <v>0.15298040850354341</v>
      </c>
      <c r="H50" s="19" t="s">
        <v>137</v>
      </c>
    </row>
    <row r="51" spans="1:8" ht="30" customHeight="1" x14ac:dyDescent="0.3">
      <c r="A51" s="55" t="s">
        <v>138</v>
      </c>
      <c r="B51" s="1" t="str">
        <f>INDEX($A$27:$A$44,MATCH(MIN($D$27:$D$44),$D$27:$D$44,0))</f>
        <v>solicitud_CTI-2026-317.docx</v>
      </c>
      <c r="C51" s="1"/>
      <c r="D51" s="29">
        <f>MIN($D$27:$D$44)</f>
        <v>41.5</v>
      </c>
      <c r="E51" s="29">
        <f>SMALL($D$27:$D$44,2)</f>
        <v>87.2</v>
      </c>
      <c r="F51" s="29">
        <f>E51-D51</f>
        <v>45.7</v>
      </c>
      <c r="G51" s="51">
        <f>F51/(MAX($D$27:$D$44)-MIN($D$27:$D$44))</f>
        <v>0.79065743944636691</v>
      </c>
      <c r="H51" s="31" t="s">
        <v>139</v>
      </c>
    </row>
    <row r="52" spans="1:8" x14ac:dyDescent="0.3">
      <c r="A52" s="56" t="s">
        <v>140</v>
      </c>
      <c r="B52" s="75" t="str">
        <f>IF(B50=B51,"Sí","NO — señalan documentos distintos")</f>
        <v>NO — señalan documentos distintos</v>
      </c>
      <c r="C52" s="75"/>
      <c r="D52" s="75"/>
      <c r="E52" s="75"/>
      <c r="F52" s="76" t="str">
        <f>"La brecha del índice es "&amp;TEXT(G51/G50,"0.0")&amp;"× mayor"</f>
        <v>La brecha del índice es 05× mayor</v>
      </c>
      <c r="G52" s="76"/>
      <c r="H52" s="76"/>
    </row>
    <row r="54" spans="1:8" ht="45.75" customHeight="1" x14ac:dyDescent="0.3">
      <c r="A54" s="6" t="s">
        <v>141</v>
      </c>
      <c r="B54" s="6"/>
      <c r="C54" s="6"/>
      <c r="D54" s="6"/>
      <c r="E54" s="6"/>
      <c r="F54" s="6"/>
      <c r="G54" s="6"/>
      <c r="H54" s="6"/>
    </row>
  </sheetData>
  <mergeCells count="9">
    <mergeCell ref="B51:C51"/>
    <mergeCell ref="B52:E52"/>
    <mergeCell ref="F52:H52"/>
    <mergeCell ref="A54:H54"/>
    <mergeCell ref="A1:H1"/>
    <mergeCell ref="A15:H15"/>
    <mergeCell ref="D45:F45"/>
    <mergeCell ref="A46:H46"/>
    <mergeCell ref="B50:C5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showGridLines="0" zoomScaleNormal="100" workbookViewId="0">
      <selection sqref="A1:G1"/>
    </sheetView>
  </sheetViews>
  <sheetFormatPr baseColWidth="10" defaultColWidth="8.6640625" defaultRowHeight="14.4" x14ac:dyDescent="0.3"/>
  <cols>
    <col min="1" max="1" width="46" customWidth="1"/>
    <col min="2" max="2" width="22" customWidth="1"/>
    <col min="3" max="3" width="11" customWidth="1"/>
    <col min="4" max="5" width="13" customWidth="1"/>
    <col min="6" max="6" width="16" customWidth="1"/>
    <col min="7" max="7" width="44" customWidth="1"/>
  </cols>
  <sheetData>
    <row r="1" spans="1:7" ht="25.5" customHeight="1" x14ac:dyDescent="0.3">
      <c r="A1" s="14" t="s">
        <v>142</v>
      </c>
      <c r="B1" s="14"/>
      <c r="C1" s="14"/>
      <c r="D1" s="14"/>
      <c r="E1" s="14"/>
      <c r="F1" s="14"/>
      <c r="G1" s="14"/>
    </row>
    <row r="3" spans="1:7" x14ac:dyDescent="0.3">
      <c r="A3" s="15" t="s">
        <v>143</v>
      </c>
    </row>
    <row r="4" spans="1:7" ht="30" customHeight="1" x14ac:dyDescent="0.3">
      <c r="A4" s="16" t="s">
        <v>43</v>
      </c>
      <c r="B4" s="16" t="s">
        <v>29</v>
      </c>
      <c r="C4" s="16" t="s">
        <v>44</v>
      </c>
      <c r="D4" s="16" t="s">
        <v>45</v>
      </c>
      <c r="E4" s="16" t="s">
        <v>51</v>
      </c>
      <c r="F4" s="16" t="s">
        <v>144</v>
      </c>
      <c r="G4" s="16" t="s">
        <v>145</v>
      </c>
    </row>
    <row r="5" spans="1:7" ht="25.5" customHeight="1" x14ac:dyDescent="0.3">
      <c r="A5" s="17" t="s">
        <v>55</v>
      </c>
      <c r="B5" s="17" t="s">
        <v>37</v>
      </c>
      <c r="C5" s="35">
        <f>Datos!D5</f>
        <v>41.5</v>
      </c>
      <c r="D5" s="34" t="str">
        <f>Datos!E5</f>
        <v>Critica</v>
      </c>
      <c r="E5" s="42">
        <f>Datos!K5</f>
        <v>1</v>
      </c>
      <c r="F5" s="57" t="s">
        <v>146</v>
      </c>
      <c r="G5" s="19" t="s">
        <v>147</v>
      </c>
    </row>
    <row r="6" spans="1:7" ht="25.5" customHeight="1" x14ac:dyDescent="0.3">
      <c r="A6" s="17" t="s">
        <v>57</v>
      </c>
      <c r="B6" s="17" t="s">
        <v>37</v>
      </c>
      <c r="C6" s="35">
        <f>Datos!D6</f>
        <v>87.2</v>
      </c>
      <c r="D6" s="34" t="str">
        <f>Datos!E6</f>
        <v>Baja</v>
      </c>
      <c r="E6" s="42">
        <f>Datos!K6</f>
        <v>1</v>
      </c>
      <c r="F6" s="57" t="s">
        <v>146</v>
      </c>
      <c r="G6" s="19" t="s">
        <v>148</v>
      </c>
    </row>
    <row r="7" spans="1:7" ht="25.5" customHeight="1" x14ac:dyDescent="0.3">
      <c r="A7" s="17" t="s">
        <v>59</v>
      </c>
      <c r="B7" s="17" t="s">
        <v>37</v>
      </c>
      <c r="C7" s="35">
        <f>Datos!D7</f>
        <v>87.3</v>
      </c>
      <c r="D7" s="34" t="str">
        <f>Datos!E7</f>
        <v>Baja</v>
      </c>
      <c r="E7" s="42">
        <f>Datos!K7</f>
        <v>0</v>
      </c>
      <c r="F7" s="34" t="s">
        <v>149</v>
      </c>
      <c r="G7" s="19" t="s">
        <v>150</v>
      </c>
    </row>
    <row r="8" spans="1:7" ht="25.5" customHeight="1" x14ac:dyDescent="0.3">
      <c r="A8" s="17" t="s">
        <v>60</v>
      </c>
      <c r="B8" s="17" t="s">
        <v>37</v>
      </c>
      <c r="C8" s="35">
        <f>Datos!D8</f>
        <v>89.2</v>
      </c>
      <c r="D8" s="34" t="str">
        <f>Datos!E8</f>
        <v>Baja</v>
      </c>
      <c r="E8" s="42">
        <f>Datos!K8</f>
        <v>0</v>
      </c>
      <c r="F8" s="34" t="s">
        <v>149</v>
      </c>
      <c r="G8" s="19" t="s">
        <v>151</v>
      </c>
    </row>
    <row r="10" spans="1:7" x14ac:dyDescent="0.3">
      <c r="A10" s="40" t="s">
        <v>152</v>
      </c>
      <c r="C10" s="58">
        <f>COUNT(C5:C8)</f>
        <v>4</v>
      </c>
    </row>
    <row r="12" spans="1:7" x14ac:dyDescent="0.3">
      <c r="A12" s="15" t="s">
        <v>153</v>
      </c>
    </row>
    <row r="13" spans="1:7" ht="30" customHeight="1" x14ac:dyDescent="0.3">
      <c r="A13" s="16" t="s">
        <v>43</v>
      </c>
      <c r="B13" s="16" t="s">
        <v>29</v>
      </c>
      <c r="C13" s="16" t="s">
        <v>44</v>
      </c>
      <c r="D13" s="16" t="s">
        <v>45</v>
      </c>
      <c r="E13" s="16" t="s">
        <v>154</v>
      </c>
      <c r="F13" s="16" t="s">
        <v>105</v>
      </c>
      <c r="G13" s="16" t="s">
        <v>155</v>
      </c>
    </row>
    <row r="14" spans="1:7" ht="25.5" customHeight="1" x14ac:dyDescent="0.3">
      <c r="A14" s="17" t="s">
        <v>55</v>
      </c>
      <c r="B14" s="17" t="s">
        <v>37</v>
      </c>
      <c r="C14" s="59">
        <f>Datos!D5</f>
        <v>41.5</v>
      </c>
      <c r="D14" s="60" t="str">
        <f>Datos!E5</f>
        <v>Critica</v>
      </c>
      <c r="E14" s="61">
        <f>Datos!I5</f>
        <v>1</v>
      </c>
      <c r="F14" s="62" t="s">
        <v>156</v>
      </c>
      <c r="G14" s="19" t="s">
        <v>157</v>
      </c>
    </row>
    <row r="15" spans="1:7" ht="25.5" customHeight="1" x14ac:dyDescent="0.3">
      <c r="A15" s="20" t="s">
        <v>57</v>
      </c>
      <c r="B15" s="20" t="s">
        <v>37</v>
      </c>
      <c r="C15" s="63">
        <f>Datos!D6</f>
        <v>87.2</v>
      </c>
      <c r="D15" s="64" t="str">
        <f>Datos!E6</f>
        <v>Baja</v>
      </c>
      <c r="E15" s="65">
        <f>Datos!I6</f>
        <v>11</v>
      </c>
      <c r="F15" s="66" t="s">
        <v>156</v>
      </c>
      <c r="G15" s="21" t="s">
        <v>157</v>
      </c>
    </row>
    <row r="16" spans="1:7" ht="25.5" customHeight="1" x14ac:dyDescent="0.3">
      <c r="A16" s="17" t="s">
        <v>61</v>
      </c>
      <c r="B16" s="17" t="s">
        <v>37</v>
      </c>
      <c r="C16" s="59">
        <f>Datos!D9</f>
        <v>92</v>
      </c>
      <c r="D16" s="60" t="str">
        <f>Datos!E9</f>
        <v>Aceptable</v>
      </c>
      <c r="E16" s="61">
        <f>Datos!I9</f>
        <v>2</v>
      </c>
      <c r="F16" s="62" t="s">
        <v>158</v>
      </c>
      <c r="G16" s="19" t="s">
        <v>159</v>
      </c>
    </row>
    <row r="17" spans="1:7" ht="25.5" customHeight="1" x14ac:dyDescent="0.3">
      <c r="A17" s="20" t="s">
        <v>67</v>
      </c>
      <c r="B17" s="20" t="s">
        <v>37</v>
      </c>
      <c r="C17" s="63">
        <f>Datos!D13</f>
        <v>95.2</v>
      </c>
      <c r="D17" s="64" t="str">
        <f>Datos!E13</f>
        <v>Alta</v>
      </c>
      <c r="E17" s="65">
        <f>Datos!I13</f>
        <v>2</v>
      </c>
      <c r="F17" s="66" t="s">
        <v>160</v>
      </c>
      <c r="G17" s="21" t="s">
        <v>161</v>
      </c>
    </row>
    <row r="18" spans="1:7" ht="25.5" customHeight="1" x14ac:dyDescent="0.3">
      <c r="A18" s="17" t="s">
        <v>71</v>
      </c>
      <c r="B18" s="17" t="s">
        <v>37</v>
      </c>
      <c r="C18" s="59">
        <f>Datos!D17</f>
        <v>98.2</v>
      </c>
      <c r="D18" s="60" t="str">
        <f>Datos!E17</f>
        <v>Alta</v>
      </c>
      <c r="E18" s="61">
        <f>Datos!I17</f>
        <v>12</v>
      </c>
      <c r="F18" s="62" t="s">
        <v>162</v>
      </c>
      <c r="G18" s="19" t="s">
        <v>163</v>
      </c>
    </row>
    <row r="19" spans="1:7" ht="25.5" customHeight="1" x14ac:dyDescent="0.3">
      <c r="A19" s="20" t="s">
        <v>75</v>
      </c>
      <c r="B19" s="20" t="s">
        <v>35</v>
      </c>
      <c r="C19" s="63">
        <f>Datos!D21</f>
        <v>98.7</v>
      </c>
      <c r="D19" s="64" t="str">
        <f>Datos!E21</f>
        <v>Alta</v>
      </c>
      <c r="E19" s="65">
        <f>Datos!I21</f>
        <v>3</v>
      </c>
      <c r="F19" s="66" t="s">
        <v>164</v>
      </c>
      <c r="G19" s="21" t="s">
        <v>165</v>
      </c>
    </row>
    <row r="20" spans="1:7" x14ac:dyDescent="0.3">
      <c r="A20" s="40" t="s">
        <v>166</v>
      </c>
      <c r="C20" s="67">
        <f>MIN(C14:C19)</f>
        <v>41.5</v>
      </c>
      <c r="D20" s="68" t="str">
        <f>"a "&amp;TEXT(MAX(C14:C19),"0.0")</f>
        <v>a 99</v>
      </c>
    </row>
    <row r="21" spans="1:7" ht="27.75" customHeight="1" x14ac:dyDescent="0.3">
      <c r="A21" s="5" t="s">
        <v>167</v>
      </c>
      <c r="B21" s="5"/>
      <c r="C21" s="5"/>
      <c r="D21" s="5"/>
      <c r="E21" s="5"/>
      <c r="F21" s="5"/>
      <c r="G21" s="5"/>
    </row>
  </sheetData>
  <mergeCells count="2">
    <mergeCell ref="A1:G1"/>
    <mergeCell ref="A21:G2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
  <sheetViews>
    <sheetView showGridLines="0" zoomScaleNormal="100" workbookViewId="0">
      <selection activeCell="A14" sqref="A14"/>
    </sheetView>
  </sheetViews>
  <sheetFormatPr baseColWidth="10" defaultColWidth="8.6640625" defaultRowHeight="14.4" x14ac:dyDescent="0.3"/>
  <cols>
    <col min="1" max="1" width="30" customWidth="1"/>
    <col min="2" max="2" width="46" customWidth="1"/>
    <col min="3" max="3" width="12" customWidth="1"/>
    <col min="4" max="4" width="30" customWidth="1"/>
    <col min="5" max="5" width="40" customWidth="1"/>
  </cols>
  <sheetData>
    <row r="1" spans="1:5" ht="25.5" customHeight="1" x14ac:dyDescent="0.3">
      <c r="A1" s="14" t="s">
        <v>168</v>
      </c>
      <c r="B1" s="14"/>
      <c r="C1" s="14"/>
      <c r="D1" s="14"/>
      <c r="E1" s="14"/>
    </row>
    <row r="3" spans="1:5" x14ac:dyDescent="0.3">
      <c r="A3" s="15" t="s">
        <v>169</v>
      </c>
    </row>
    <row r="4" spans="1:5" ht="30" customHeight="1" x14ac:dyDescent="0.3">
      <c r="A4" s="16" t="s">
        <v>170</v>
      </c>
      <c r="B4" s="16" t="s">
        <v>171</v>
      </c>
      <c r="C4" s="16" t="s">
        <v>172</v>
      </c>
      <c r="D4" s="16" t="s">
        <v>173</v>
      </c>
      <c r="E4" s="16" t="s">
        <v>174</v>
      </c>
    </row>
    <row r="5" spans="1:5" ht="30" customHeight="1" x14ac:dyDescent="0.3">
      <c r="A5" s="54" t="s">
        <v>175</v>
      </c>
      <c r="B5" s="62" t="s">
        <v>176</v>
      </c>
      <c r="C5" s="69">
        <v>0.3</v>
      </c>
      <c r="D5" s="62" t="s">
        <v>177</v>
      </c>
      <c r="E5" s="19" t="s">
        <v>178</v>
      </c>
    </row>
    <row r="6" spans="1:5" ht="30" customHeight="1" x14ac:dyDescent="0.3">
      <c r="A6" s="70" t="s">
        <v>179</v>
      </c>
      <c r="B6" s="66" t="s">
        <v>180</v>
      </c>
      <c r="C6" s="71">
        <v>0.25</v>
      </c>
      <c r="D6" s="66" t="s">
        <v>181</v>
      </c>
      <c r="E6" s="21" t="s">
        <v>182</v>
      </c>
    </row>
    <row r="7" spans="1:5" ht="30" customHeight="1" x14ac:dyDescent="0.3">
      <c r="A7" s="54" t="s">
        <v>183</v>
      </c>
      <c r="B7" s="62" t="s">
        <v>184</v>
      </c>
      <c r="C7" s="69">
        <v>0.2</v>
      </c>
      <c r="D7" s="62" t="s">
        <v>185</v>
      </c>
      <c r="E7" s="19" t="s">
        <v>186</v>
      </c>
    </row>
    <row r="8" spans="1:5" ht="30" customHeight="1" x14ac:dyDescent="0.3">
      <c r="A8" s="70" t="s">
        <v>187</v>
      </c>
      <c r="B8" s="66" t="s">
        <v>188</v>
      </c>
      <c r="C8" s="71">
        <v>0.15</v>
      </c>
      <c r="D8" s="66" t="s">
        <v>189</v>
      </c>
      <c r="E8" s="21" t="s">
        <v>190</v>
      </c>
    </row>
    <row r="9" spans="1:5" ht="30" customHeight="1" x14ac:dyDescent="0.3">
      <c r="A9" s="54" t="s">
        <v>191</v>
      </c>
      <c r="B9" s="62" t="s">
        <v>192</v>
      </c>
      <c r="C9" s="69">
        <v>0.1</v>
      </c>
      <c r="D9" s="62" t="s">
        <v>193</v>
      </c>
      <c r="E9" s="19" t="s">
        <v>194</v>
      </c>
    </row>
    <row r="10" spans="1:5" x14ac:dyDescent="0.3">
      <c r="A10" s="25" t="s">
        <v>195</v>
      </c>
      <c r="C10" s="72">
        <f>SUM(C5:C9)</f>
        <v>1</v>
      </c>
      <c r="D10" s="3" t="str">
        <f>IF(ABS(C10-1)&lt;0.0001,"✓ Correcto: los pesos suman 100%","✗ ERROR: los pesos no suman 100%")</f>
        <v>✓ Correcto: los pesos suman 100%</v>
      </c>
      <c r="E10" s="3"/>
    </row>
    <row r="13" spans="1:5" x14ac:dyDescent="0.3">
      <c r="A13" s="15" t="s">
        <v>216</v>
      </c>
    </row>
    <row r="14" spans="1:5" ht="39.75" customHeight="1" x14ac:dyDescent="0.3">
      <c r="A14" s="25" t="s">
        <v>196</v>
      </c>
      <c r="B14" s="77" t="s">
        <v>197</v>
      </c>
      <c r="C14" s="77"/>
      <c r="D14" s="77"/>
      <c r="E14" s="77"/>
    </row>
    <row r="15" spans="1:5" ht="39.75" customHeight="1" x14ac:dyDescent="0.3">
      <c r="A15" s="25" t="s">
        <v>198</v>
      </c>
      <c r="B15" s="77" t="s">
        <v>199</v>
      </c>
      <c r="C15" s="77"/>
      <c r="D15" s="77"/>
      <c r="E15" s="77"/>
    </row>
    <row r="16" spans="1:5" ht="39.75" customHeight="1" x14ac:dyDescent="0.3">
      <c r="A16" s="25" t="s">
        <v>200</v>
      </c>
      <c r="B16" s="77" t="s">
        <v>201</v>
      </c>
      <c r="C16" s="77"/>
      <c r="D16" s="77"/>
      <c r="E16" s="77"/>
    </row>
    <row r="17" spans="1:5" ht="39.75" customHeight="1" x14ac:dyDescent="0.3">
      <c r="A17" s="25" t="s">
        <v>202</v>
      </c>
      <c r="B17" s="77" t="s">
        <v>203</v>
      </c>
      <c r="C17" s="77"/>
      <c r="D17" s="77"/>
      <c r="E17" s="77"/>
    </row>
    <row r="18" spans="1:5" ht="39.75" customHeight="1" x14ac:dyDescent="0.3">
      <c r="A18" s="25" t="s">
        <v>204</v>
      </c>
      <c r="B18" s="77" t="s">
        <v>205</v>
      </c>
      <c r="C18" s="77"/>
      <c r="D18" s="77"/>
      <c r="E18" s="77"/>
    </row>
  </sheetData>
  <mergeCells count="7">
    <mergeCell ref="B18:E18"/>
    <mergeCell ref="B14:E14"/>
    <mergeCell ref="B15:E15"/>
    <mergeCell ref="B16:E16"/>
    <mergeCell ref="B17:E17"/>
    <mergeCell ref="A1:E1"/>
    <mergeCell ref="D10:E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2"/>
  <sheetViews>
    <sheetView showGridLines="0" zoomScaleNormal="100" workbookViewId="0">
      <selection activeCell="B5" sqref="B5"/>
    </sheetView>
  </sheetViews>
  <sheetFormatPr baseColWidth="10" defaultColWidth="8.6640625" defaultRowHeight="14.4" x14ac:dyDescent="0.3"/>
  <cols>
    <col min="1" max="1" width="46" customWidth="1"/>
    <col min="2" max="10" width="12" customWidth="1"/>
  </cols>
  <sheetData>
    <row r="1" spans="1:10" ht="25.5" customHeight="1" x14ac:dyDescent="0.3">
      <c r="A1" s="14" t="s">
        <v>206</v>
      </c>
      <c r="B1" s="14"/>
      <c r="C1" s="14"/>
      <c r="D1" s="14"/>
      <c r="E1" s="14"/>
      <c r="F1" s="14"/>
      <c r="G1" s="14"/>
      <c r="H1" s="14"/>
      <c r="I1" s="14"/>
      <c r="J1" s="14"/>
    </row>
    <row r="3" spans="1:10" x14ac:dyDescent="0.3">
      <c r="A3" s="15" t="s">
        <v>207</v>
      </c>
    </row>
    <row r="4" spans="1:10" ht="30" customHeight="1" x14ac:dyDescent="0.3">
      <c r="A4" s="16" t="s">
        <v>43</v>
      </c>
      <c r="B4" s="16" t="s">
        <v>44</v>
      </c>
      <c r="C4" s="16" t="s">
        <v>208</v>
      </c>
      <c r="D4" s="16"/>
      <c r="E4" s="16"/>
      <c r="F4" s="16"/>
      <c r="G4" s="16"/>
      <c r="H4" s="16"/>
      <c r="I4" s="16"/>
      <c r="J4" s="16"/>
    </row>
    <row r="5" spans="1:10" x14ac:dyDescent="0.3">
      <c r="A5" s="17" t="str">
        <f>Datos!B5</f>
        <v>solicitud_CTI-2026-317.docx</v>
      </c>
      <c r="B5" s="59">
        <f>Datos!D5</f>
        <v>41.5</v>
      </c>
      <c r="C5" s="61">
        <f>Datos!$D$24</f>
        <v>90</v>
      </c>
    </row>
    <row r="6" spans="1:10" x14ac:dyDescent="0.3">
      <c r="A6" s="17" t="str">
        <f>Datos!B6</f>
        <v>CÓDIGO DE CONDUCTA  2025_vfinal.docx</v>
      </c>
      <c r="B6" s="59">
        <f>Datos!D6</f>
        <v>87.2</v>
      </c>
      <c r="C6" s="61">
        <f>Datos!$D$24</f>
        <v>90</v>
      </c>
    </row>
    <row r="7" spans="1:10" x14ac:dyDescent="0.3">
      <c r="A7" s="17" t="str">
        <f>Datos!B7</f>
        <v>OrdenCompra_IC-ESPOL-047-2026-signed-signed.docx</v>
      </c>
      <c r="B7" s="59">
        <f>Datos!D7</f>
        <v>87.3</v>
      </c>
      <c r="C7" s="61">
        <f>Datos!$D$24</f>
        <v>90</v>
      </c>
    </row>
    <row r="8" spans="1:10" x14ac:dyDescent="0.3">
      <c r="A8" s="17" t="str">
        <f>Datos!B8</f>
        <v>ACTA DE ENTREGA RECEPCIÓN.docx</v>
      </c>
      <c r="B8" s="59">
        <f>Datos!D8</f>
        <v>89.2</v>
      </c>
      <c r="C8" s="61">
        <f>Datos!$D$24</f>
        <v>90</v>
      </c>
    </row>
    <row r="9" spans="1:10" x14ac:dyDescent="0.3">
      <c r="A9" s="17" t="str">
        <f>Datos!B9</f>
        <v>VERIFICACION-PAC-signed.docx</v>
      </c>
      <c r="B9" s="59">
        <f>Datos!D9</f>
        <v>92</v>
      </c>
      <c r="C9" s="61">
        <f>Datos!$D$24</f>
        <v>90</v>
      </c>
    </row>
    <row r="10" spans="1:10" x14ac:dyDescent="0.3">
      <c r="A10" s="17" t="str">
        <f>Datos!B10</f>
        <v>InformeNecesidad_CTIIJN03422026signedsigned_signed.docx</v>
      </c>
      <c r="B10" s="59">
        <f>Datos!D10</f>
        <v>92.7</v>
      </c>
      <c r="C10" s="61">
        <f>Datos!$D$24</f>
        <v>90</v>
      </c>
    </row>
    <row r="11" spans="1:10" x14ac:dyDescent="0.3">
      <c r="A11" s="17" t="str">
        <f>Datos!B11</f>
        <v>VERIFICACION-CATE-signed.docx</v>
      </c>
      <c r="B11" s="59">
        <f>Datos!D11</f>
        <v>93</v>
      </c>
      <c r="C11" s="61">
        <f>Datos!$D$24</f>
        <v>90</v>
      </c>
    </row>
    <row r="12" spans="1:10" x14ac:dyDescent="0.3">
      <c r="A12" s="17" t="str">
        <f>Datos!B12</f>
        <v>07_FormularioESPOLDivulga.docx</v>
      </c>
      <c r="B12" s="59">
        <f>Datos!D12</f>
        <v>95</v>
      </c>
      <c r="C12" s="61">
        <f>Datos!$D$24</f>
        <v>90</v>
      </c>
    </row>
    <row r="13" spans="1:10" x14ac:dyDescent="0.3">
      <c r="A13" s="17" t="str">
        <f>Datos!B13</f>
        <v>INFROME DE CONFORMIDAD.docx</v>
      </c>
      <c r="B13" s="59">
        <f>Datos!D13</f>
        <v>95.2</v>
      </c>
      <c r="C13" s="61">
        <f>Datos!$D$24</f>
        <v>90</v>
      </c>
    </row>
    <row r="14" spans="1:10" x14ac:dyDescent="0.3">
      <c r="A14" s="17" t="str">
        <f>Datos!B14</f>
        <v>08_DelegacionRepresentanteTecnico.docx</v>
      </c>
      <c r="B14" s="59">
        <f>Datos!D14</f>
        <v>97.4</v>
      </c>
      <c r="C14" s="61">
        <f>Datos!$D$24</f>
        <v>90</v>
      </c>
    </row>
    <row r="15" spans="1:10" x14ac:dyDescent="0.3">
      <c r="A15" s="17" t="str">
        <f>Datos!B15</f>
        <v>INEN-DNO-2026-0160-CIR.docx</v>
      </c>
      <c r="B15" s="59">
        <f>Datos!D15</f>
        <v>97.8</v>
      </c>
      <c r="C15" s="61">
        <f>Datos!$D$24</f>
        <v>90</v>
      </c>
    </row>
    <row r="16" spans="1:10" x14ac:dyDescent="0.3">
      <c r="A16" s="17" t="str">
        <f>Datos!B16</f>
        <v>formulario 2026.docx</v>
      </c>
      <c r="B16" s="59">
        <f>Datos!D16</f>
        <v>98</v>
      </c>
      <c r="C16" s="61">
        <f>Datos!$D$24</f>
        <v>90</v>
      </c>
    </row>
    <row r="17" spans="1:10" x14ac:dyDescent="0.3">
      <c r="A17" s="17" t="str">
        <f>Datos!B17</f>
        <v>NTE INEN-ISO 2859-1_EXTRACTO.docx</v>
      </c>
      <c r="B17" s="59">
        <f>Datos!D17</f>
        <v>98.2</v>
      </c>
      <c r="C17" s="61">
        <f>Datos!$D$24</f>
        <v>90</v>
      </c>
    </row>
    <row r="18" spans="1:10" x14ac:dyDescent="0.3">
      <c r="A18" s="17" t="str">
        <f>Datos!B18</f>
        <v>02_MemorandoInterno.docx</v>
      </c>
      <c r="B18" s="59">
        <f>Datos!D18</f>
        <v>98.5</v>
      </c>
      <c r="C18" s="61">
        <f>Datos!$D$24</f>
        <v>90</v>
      </c>
    </row>
    <row r="19" spans="1:10" x14ac:dyDescent="0.3">
      <c r="A19" s="17" t="str">
        <f>Datos!B19</f>
        <v>03_ActaReunionComite.docx</v>
      </c>
      <c r="B19" s="59">
        <f>Datos!D19</f>
        <v>98.5</v>
      </c>
      <c r="C19" s="61">
        <f>Datos!$D$24</f>
        <v>90</v>
      </c>
    </row>
    <row r="20" spans="1:10" x14ac:dyDescent="0.3">
      <c r="A20" s="17" t="str">
        <f>Datos!B20</f>
        <v>06_ActaEntregaRecepcion.docx</v>
      </c>
      <c r="B20" s="59">
        <f>Datos!D20</f>
        <v>98.5</v>
      </c>
      <c r="C20" s="61">
        <f>Datos!$D$24</f>
        <v>90</v>
      </c>
    </row>
    <row r="21" spans="1:10" x14ac:dyDescent="0.3">
      <c r="A21" s="17" t="str">
        <f>Datos!B21</f>
        <v>04_InformeNecesidad.docx</v>
      </c>
      <c r="B21" s="59">
        <f>Datos!D21</f>
        <v>98.7</v>
      </c>
      <c r="C21" s="61">
        <f>Datos!$D$24</f>
        <v>90</v>
      </c>
    </row>
    <row r="22" spans="1:10" x14ac:dyDescent="0.3">
      <c r="A22" s="17" t="str">
        <f>Datos!B22</f>
        <v>05_SolicitudCompraSIC.docx</v>
      </c>
      <c r="B22" s="59">
        <f>Datos!D22</f>
        <v>99.3</v>
      </c>
      <c r="C22" s="61">
        <f>Datos!$D$24</f>
        <v>90</v>
      </c>
    </row>
    <row r="25" spans="1:10" x14ac:dyDescent="0.3">
      <c r="A25" s="15" t="s">
        <v>209</v>
      </c>
    </row>
    <row r="26" spans="1:10" ht="30" customHeight="1" x14ac:dyDescent="0.3">
      <c r="A26" s="16" t="s">
        <v>29</v>
      </c>
      <c r="B26" s="16" t="s">
        <v>31</v>
      </c>
      <c r="C26" s="16" t="s">
        <v>210</v>
      </c>
      <c r="D26" s="16" t="s">
        <v>33</v>
      </c>
      <c r="E26" s="16"/>
      <c r="F26" s="16"/>
      <c r="G26" s="16"/>
      <c r="H26" s="16"/>
      <c r="I26" s="16"/>
      <c r="J26" s="16"/>
    </row>
    <row r="27" spans="1:10" x14ac:dyDescent="0.3">
      <c r="A27" s="17" t="s">
        <v>35</v>
      </c>
      <c r="B27" s="73">
        <f>AVERAGEIF(Datos!$C$5:$C$22,"A · Nativo Word",Datos!$D$5:$D$22)</f>
        <v>97.987499999999997</v>
      </c>
      <c r="C27" s="73">
        <f>AVERAGEIF(Datos!$C$5:$C$22,"A · Nativo Word",Datos!$F$5:$F$22)*100</f>
        <v>95.962499999999991</v>
      </c>
      <c r="D27" s="61">
        <f>COUNTIFS(Datos!$C$5:$C$22,"A · Nativo Word",Datos!$K$5:$K$22,"&lt;&gt;0")</f>
        <v>0</v>
      </c>
    </row>
    <row r="28" spans="1:10" x14ac:dyDescent="0.3">
      <c r="A28" s="17" t="s">
        <v>37</v>
      </c>
      <c r="B28" s="73">
        <f>AVERAGEIF(Datos!$C$5:$C$22,"B · Convertido a Word",Datos!$D$5:$D$22)</f>
        <v>87.41</v>
      </c>
      <c r="C28" s="73">
        <f>AVERAGEIF(Datos!$C$5:$C$22,"B · Convertido a Word",Datos!$F$5:$F$22)*100</f>
        <v>85.698999999999998</v>
      </c>
      <c r="D28" s="61">
        <f>COUNTIFS(Datos!$C$5:$C$22,"B · Convertido a Word",Datos!$K$5:$K$22,"&lt;&gt;0")</f>
        <v>2</v>
      </c>
    </row>
    <row r="31" spans="1:10" x14ac:dyDescent="0.3">
      <c r="A31" s="15" t="s">
        <v>211</v>
      </c>
    </row>
    <row r="32" spans="1:10" ht="30" customHeight="1" x14ac:dyDescent="0.3">
      <c r="A32" s="16" t="s">
        <v>43</v>
      </c>
      <c r="B32" s="16" t="s">
        <v>46</v>
      </c>
      <c r="C32" s="16" t="s">
        <v>121</v>
      </c>
      <c r="D32" s="16"/>
      <c r="E32" s="16"/>
      <c r="F32" s="16"/>
      <c r="G32" s="16"/>
      <c r="H32" s="16"/>
      <c r="I32" s="16"/>
      <c r="J32" s="16"/>
    </row>
    <row r="33" spans="1:3" x14ac:dyDescent="0.3">
      <c r="A33" s="17" t="str">
        <f>Datos!B5</f>
        <v>solicitud_CTI-2026-317.docx</v>
      </c>
      <c r="B33" s="74">
        <f>Datos!F5</f>
        <v>0.83099999999999996</v>
      </c>
      <c r="C33" s="59">
        <f>Datos!D5</f>
        <v>41.5</v>
      </c>
    </row>
    <row r="34" spans="1:3" x14ac:dyDescent="0.3">
      <c r="A34" s="17" t="str">
        <f>Datos!B6</f>
        <v>CÓDIGO DE CONDUCTA  2025_vfinal.docx</v>
      </c>
      <c r="B34" s="74">
        <f>Datos!F6</f>
        <v>0.83520000000000005</v>
      </c>
      <c r="C34" s="59">
        <f>Datos!D6</f>
        <v>87.2</v>
      </c>
    </row>
    <row r="35" spans="1:3" x14ac:dyDescent="0.3">
      <c r="A35" s="17" t="str">
        <f>Datos!B7</f>
        <v>OrdenCompra_IC-ESPOL-047-2026-signed-signed.docx</v>
      </c>
      <c r="B35" s="74">
        <f>Datos!F7</f>
        <v>0.74639999999999995</v>
      </c>
      <c r="C35" s="59">
        <f>Datos!D7</f>
        <v>87.3</v>
      </c>
    </row>
    <row r="36" spans="1:3" x14ac:dyDescent="0.3">
      <c r="A36" s="17" t="str">
        <f>Datos!B8</f>
        <v>ACTA DE ENTREGA RECEPCIÓN.docx</v>
      </c>
      <c r="B36" s="74">
        <f>Datos!F8</f>
        <v>0.78310000000000002</v>
      </c>
      <c r="C36" s="59">
        <f>Datos!D8</f>
        <v>89.2</v>
      </c>
    </row>
    <row r="37" spans="1:3" x14ac:dyDescent="0.3">
      <c r="A37" s="17" t="str">
        <f>Datos!B9</f>
        <v>VERIFICACION-PAC-signed.docx</v>
      </c>
      <c r="B37" s="74">
        <f>Datos!F9</f>
        <v>0.83909999999999996</v>
      </c>
      <c r="C37" s="59">
        <f>Datos!D9</f>
        <v>92</v>
      </c>
    </row>
    <row r="38" spans="1:3" x14ac:dyDescent="0.3">
      <c r="A38" s="17" t="str">
        <f>Datos!B10</f>
        <v>InformeNecesidad_CTIIJN03422026signedsigned_signed.docx</v>
      </c>
      <c r="B38" s="74">
        <f>Datos!F10</f>
        <v>0.85340000000000005</v>
      </c>
      <c r="C38" s="59">
        <f>Datos!D10</f>
        <v>92.7</v>
      </c>
    </row>
    <row r="39" spans="1:3" x14ac:dyDescent="0.3">
      <c r="A39" s="17" t="str">
        <f>Datos!B11</f>
        <v>VERIFICACION-CATE-signed.docx</v>
      </c>
      <c r="B39" s="74">
        <f>Datos!F11</f>
        <v>0.8589</v>
      </c>
      <c r="C39" s="59">
        <f>Datos!D11</f>
        <v>93</v>
      </c>
    </row>
    <row r="40" spans="1:3" x14ac:dyDescent="0.3">
      <c r="A40" s="17" t="str">
        <f>Datos!B12</f>
        <v>07_FormularioESPOLDivulga.docx</v>
      </c>
      <c r="B40" s="74">
        <f>Datos!F12</f>
        <v>0.89959999999999996</v>
      </c>
      <c r="C40" s="59">
        <f>Datos!D12</f>
        <v>95</v>
      </c>
    </row>
    <row r="41" spans="1:3" x14ac:dyDescent="0.3">
      <c r="A41" s="17" t="str">
        <f>Datos!B13</f>
        <v>INFROME DE CONFORMIDAD.docx</v>
      </c>
      <c r="B41" s="74">
        <f>Datos!F13</f>
        <v>0.90280000000000005</v>
      </c>
      <c r="C41" s="59">
        <f>Datos!D13</f>
        <v>95.2</v>
      </c>
    </row>
    <row r="42" spans="1:3" x14ac:dyDescent="0.3">
      <c r="A42" s="17" t="str">
        <f>Datos!B14</f>
        <v>08_DelegacionRepresentanteTecnico.docx</v>
      </c>
      <c r="B42" s="74">
        <f>Datos!F14</f>
        <v>0.94850000000000001</v>
      </c>
      <c r="C42" s="59">
        <f>Datos!D14</f>
        <v>97.4</v>
      </c>
    </row>
    <row r="43" spans="1:3" x14ac:dyDescent="0.3">
      <c r="A43" s="17" t="str">
        <f>Datos!B15</f>
        <v>INEN-DNO-2026-0160-CIR.docx</v>
      </c>
      <c r="B43" s="74">
        <f>Datos!F15</f>
        <v>0.95609999999999995</v>
      </c>
      <c r="C43" s="59">
        <f>Datos!D15</f>
        <v>97.8</v>
      </c>
    </row>
    <row r="44" spans="1:3" x14ac:dyDescent="0.3">
      <c r="A44" s="17" t="str">
        <f>Datos!B16</f>
        <v>formulario 2026.docx</v>
      </c>
      <c r="B44" s="74">
        <f>Datos!F16</f>
        <v>0.9587</v>
      </c>
      <c r="C44" s="59">
        <f>Datos!D16</f>
        <v>98</v>
      </c>
    </row>
    <row r="45" spans="1:3" x14ac:dyDescent="0.3">
      <c r="A45" s="17" t="str">
        <f>Datos!B17</f>
        <v>NTE INEN-ISO 2859-1_EXTRACTO.docx</v>
      </c>
      <c r="B45" s="74">
        <f>Datos!F17</f>
        <v>0.96389999999999998</v>
      </c>
      <c r="C45" s="59">
        <f>Datos!D17</f>
        <v>98.2</v>
      </c>
    </row>
    <row r="46" spans="1:3" x14ac:dyDescent="0.3">
      <c r="A46" s="17" t="str">
        <f>Datos!B18</f>
        <v>02_MemorandoInterno.docx</v>
      </c>
      <c r="B46" s="74">
        <f>Datos!F18</f>
        <v>0.97</v>
      </c>
      <c r="C46" s="59">
        <f>Datos!D18</f>
        <v>98.5</v>
      </c>
    </row>
    <row r="47" spans="1:3" x14ac:dyDescent="0.3">
      <c r="A47" s="17" t="str">
        <f>Datos!B19</f>
        <v>03_ActaReunionComite.docx</v>
      </c>
      <c r="B47" s="74">
        <f>Datos!F19</f>
        <v>0.96909999999999996</v>
      </c>
      <c r="C47" s="59">
        <f>Datos!D19</f>
        <v>98.5</v>
      </c>
    </row>
    <row r="48" spans="1:3" x14ac:dyDescent="0.3">
      <c r="A48" s="17" t="str">
        <f>Datos!B20</f>
        <v>06_ActaEntregaRecepcion.docx</v>
      </c>
      <c r="B48" s="74">
        <f>Datos!F20</f>
        <v>0.97140000000000004</v>
      </c>
      <c r="C48" s="59">
        <f>Datos!D20</f>
        <v>98.5</v>
      </c>
    </row>
    <row r="49" spans="1:10" x14ac:dyDescent="0.3">
      <c r="A49" s="17" t="str">
        <f>Datos!B21</f>
        <v>04_InformeNecesidad.docx</v>
      </c>
      <c r="B49" s="74">
        <f>Datos!F21</f>
        <v>0.97340000000000004</v>
      </c>
      <c r="C49" s="59">
        <f>Datos!D21</f>
        <v>98.7</v>
      </c>
    </row>
    <row r="50" spans="1:10" x14ac:dyDescent="0.3">
      <c r="A50" s="17" t="str">
        <f>Datos!B22</f>
        <v>05_SolicitudCompraSIC.docx</v>
      </c>
      <c r="B50" s="74">
        <f>Datos!F22</f>
        <v>0.98629999999999995</v>
      </c>
      <c r="C50" s="59">
        <f>Datos!D22</f>
        <v>99.3</v>
      </c>
    </row>
    <row r="52" spans="1:10" x14ac:dyDescent="0.3">
      <c r="A52" s="5" t="s">
        <v>212</v>
      </c>
      <c r="B52" s="5"/>
      <c r="C52" s="5"/>
      <c r="D52" s="5"/>
      <c r="E52" s="5"/>
      <c r="F52" s="5"/>
      <c r="G52" s="5"/>
      <c r="H52" s="5"/>
      <c r="I52" s="5"/>
      <c r="J52" s="5"/>
    </row>
  </sheetData>
  <mergeCells count="2">
    <mergeCell ref="A1:J1"/>
    <mergeCell ref="A52:J52"/>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vt:lpstr>
      <vt:lpstr>Datos</vt:lpstr>
      <vt:lpstr>Análisis</vt:lpstr>
      <vt:lpstr>Problemáticos y muestra</vt:lpstr>
      <vt:lpstr>Metodología</vt:lpstr>
      <vt:lpstr>Gráficas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Marco Antonio Castro Pin</cp:lastModifiedBy>
  <cp:revision>2</cp:revision>
  <dcterms:created xsi:type="dcterms:W3CDTF">2026-07-23T02:51:55Z</dcterms:created>
  <dcterms:modified xsi:type="dcterms:W3CDTF">2026-07-30T09:18:45Z</dcterms:modified>
  <dc:language>en-US</dc:language>
</cp:coreProperties>
</file>